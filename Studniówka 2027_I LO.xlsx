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defaultThemeVersion="166925"/>
  <xr:revisionPtr revIDLastSave="0" documentId="8_{8DE188DB-5603-4D32-A53E-012A14E135C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ista uczniów_składki" sheetId="1" r:id="rId1"/>
    <sheet name="Sheet1" sheetId="10" r:id="rId2"/>
    <sheet name="Wydatki" sheetId="2" r:id="rId3"/>
    <sheet name="Podsumowanie" sheetId="3" r:id="rId4"/>
    <sheet name="Do wiadomości rodziców" sheetId="6" r:id="rId5"/>
    <sheet name="Zadania" sheetId="8" r:id="rId6"/>
    <sheet name="Notes" sheetId="7" state="hidden" r:id="rId7"/>
    <sheet name="Dashboard" sheetId="9" r:id="rId8"/>
    <sheet name="Ankieta#1_13.04.26" sheetId="5" r:id="rId9"/>
  </sheets>
  <definedNames>
    <definedName name="_xlnm._FilterDatabase" localSheetId="8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0"/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AE18" i="9"/>
  <c r="AN7" i="9"/>
  <c r="AN8" i="9"/>
  <c r="AN9" i="9"/>
  <c r="AN10" i="9"/>
  <c r="AN11" i="9"/>
  <c r="AN12" i="9"/>
  <c r="AN13" i="9"/>
  <c r="AE8" i="9"/>
  <c r="AG8" i="9"/>
  <c r="AE9" i="9"/>
  <c r="AG9" i="9"/>
  <c r="AE10" i="9"/>
  <c r="AG10" i="9"/>
  <c r="AE11" i="9"/>
  <c r="AG11" i="9"/>
  <c r="AE12" i="9"/>
  <c r="AG12" i="9"/>
  <c r="AE13" i="9"/>
  <c r="AG13" i="9"/>
  <c r="AE14" i="9"/>
  <c r="AG14" i="9"/>
  <c r="AE15" i="9"/>
  <c r="AG15" i="9"/>
  <c r="AE16" i="9"/>
  <c r="AG16" i="9"/>
  <c r="AE17" i="9"/>
  <c r="AG17" i="9"/>
  <c r="AE7" i="9"/>
  <c r="AG7" i="9"/>
  <c r="AC8" i="9"/>
  <c r="AC9" i="9"/>
  <c r="AC10" i="9"/>
  <c r="AC11" i="9"/>
  <c r="AC12" i="9"/>
  <c r="AC13" i="9"/>
  <c r="AC14" i="9"/>
  <c r="AC15" i="9"/>
  <c r="AC16" i="9"/>
  <c r="AC17" i="9"/>
  <c r="AC7" i="9"/>
  <c r="X11" i="9"/>
  <c r="X10" i="9"/>
  <c r="X9" i="9"/>
  <c r="P9" i="9"/>
  <c r="P10" i="9"/>
  <c r="P11" i="9"/>
  <c r="P12" i="9"/>
  <c r="P13" i="9"/>
  <c r="P14" i="9"/>
  <c r="P15" i="9"/>
  <c r="P16" i="9"/>
  <c r="P7" i="9"/>
  <c r="H8" i="9"/>
  <c r="H9" i="9"/>
  <c r="H10" i="9"/>
  <c r="H11" i="9"/>
  <c r="H12" i="9"/>
  <c r="H13" i="9"/>
  <c r="H14" i="9"/>
  <c r="A9" i="9"/>
  <c r="B8" i="9"/>
  <c r="A8" i="9"/>
  <c r="F44" i="6"/>
  <c r="F48" i="6"/>
  <c r="F47" i="6"/>
  <c r="F46" i="6"/>
  <c r="T104" i="1"/>
  <c r="U104" i="1"/>
  <c r="V104" i="1"/>
  <c r="W104" i="1"/>
  <c r="Z104" i="1"/>
  <c r="F4" i="2"/>
  <c r="AD8" i="9" s="1"/>
  <c r="F5" i="2"/>
  <c r="AD9" i="9" s="1"/>
  <c r="F6" i="2"/>
  <c r="AD10" i="9" s="1"/>
  <c r="F7" i="2"/>
  <c r="AD11" i="9" s="1"/>
  <c r="F8" i="2"/>
  <c r="AD12" i="9" s="1"/>
  <c r="F9" i="2"/>
  <c r="AD13" i="9" s="1"/>
  <c r="F11" i="2"/>
  <c r="AD15" i="9" s="1"/>
  <c r="F12" i="2"/>
  <c r="AD16" i="9" s="1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4" i="1"/>
  <c r="U76" i="1"/>
  <c r="U80" i="1"/>
  <c r="U82" i="1"/>
  <c r="U87" i="1"/>
  <c r="U88" i="1"/>
  <c r="U106" i="1"/>
  <c r="U110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B9" i="9" s="1"/>
  <c r="H1" i="1"/>
  <c r="I1" i="1"/>
  <c r="J1" i="1"/>
  <c r="K1" i="1"/>
  <c r="L1" i="1"/>
  <c r="M1" i="1"/>
  <c r="N1" i="1"/>
  <c r="O1" i="1"/>
  <c r="P1" i="1"/>
  <c r="Q1" i="1"/>
  <c r="R1" i="1"/>
  <c r="S1" i="1"/>
  <c r="G1" i="1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Y11" i="9" s="1"/>
  <c r="H4" i="2"/>
  <c r="AF8" i="9" s="1"/>
  <c r="D21" i="6"/>
  <c r="H12" i="2"/>
  <c r="AF16" i="9" s="1"/>
  <c r="D15" i="6"/>
  <c r="H6" i="2"/>
  <c r="AF10" i="9" s="1"/>
  <c r="D16" i="6"/>
  <c r="H7" i="2"/>
  <c r="AF11" i="9" s="1"/>
  <c r="D17" i="6"/>
  <c r="H8" i="2"/>
  <c r="AF12" i="9" s="1"/>
  <c r="D18" i="6"/>
  <c r="H9" i="2"/>
  <c r="AF13" i="9" s="1"/>
  <c r="D20" i="6"/>
  <c r="H11" i="2"/>
  <c r="AF15" i="9" s="1"/>
  <c r="T3" i="1"/>
  <c r="H5" i="2"/>
  <c r="AF9" i="9" s="1"/>
  <c r="T1" i="1"/>
  <c r="D13" i="6"/>
  <c r="E34" i="6"/>
  <c r="R10" i="9" s="1"/>
  <c r="E35" i="6"/>
  <c r="R11" i="9" s="1"/>
  <c r="E36" i="6"/>
  <c r="R12" i="9" s="1"/>
  <c r="E37" i="6"/>
  <c r="R13" i="9" s="1"/>
  <c r="E38" i="6"/>
  <c r="R14" i="9" s="1"/>
  <c r="E39" i="6"/>
  <c r="R15" i="9" s="1"/>
  <c r="E33" i="6"/>
  <c r="R9" i="9" s="1"/>
  <c r="E40" i="6"/>
  <c r="R16" i="9" s="1"/>
  <c r="K3" i="3"/>
  <c r="L9" i="9" s="1"/>
  <c r="K4" i="3"/>
  <c r="L10" i="9" s="1"/>
  <c r="K5" i="3"/>
  <c r="L11" i="9" s="1"/>
  <c r="K6" i="3"/>
  <c r="L12" i="9" s="1"/>
  <c r="K7" i="3"/>
  <c r="L13" i="9" s="1"/>
  <c r="K8" i="3"/>
  <c r="L14" i="9" s="1"/>
  <c r="K2" i="3"/>
  <c r="L8" i="9" s="1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I9" i="9" s="1"/>
  <c r="B4" i="3"/>
  <c r="I10" i="9" s="1"/>
  <c r="B5" i="3"/>
  <c r="I11" i="9" s="1"/>
  <c r="B6" i="3"/>
  <c r="I12" i="9" s="1"/>
  <c r="B7" i="3"/>
  <c r="I13" i="9" s="1"/>
  <c r="B8" i="3"/>
  <c r="I14" i="9" s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C2" i="3"/>
  <c r="J8" i="9" s="1"/>
  <c r="C4" i="3"/>
  <c r="J10" i="9" s="1"/>
  <c r="C5" i="3"/>
  <c r="J11" i="9" s="1"/>
  <c r="C6" i="3"/>
  <c r="C7" i="3"/>
  <c r="J13" i="9" s="1"/>
  <c r="C8" i="3"/>
  <c r="C3" i="3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Y9" i="9" s="1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Y10" i="9" s="1"/>
  <c r="D8" i="6"/>
  <c r="D2" i="3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B12" i="3" l="1"/>
  <c r="D13" i="2" s="1"/>
  <c r="F13" i="2" s="1"/>
  <c r="H13" i="2" s="1"/>
  <c r="AF17" i="9" s="1"/>
  <c r="I8" i="9"/>
  <c r="D22" i="6"/>
  <c r="AD17" i="9"/>
  <c r="B13" i="3"/>
  <c r="C12" i="3" s="1"/>
  <c r="D3" i="2" s="1"/>
  <c r="J9" i="9"/>
  <c r="D8" i="3"/>
  <c r="J14" i="9"/>
  <c r="D6" i="3"/>
  <c r="J12" i="9"/>
  <c r="B22" i="3"/>
  <c r="C19" i="3"/>
  <c r="D28" i="6"/>
  <c r="E27" i="6" s="1"/>
  <c r="D10" i="2"/>
  <c r="F10" i="2" s="1"/>
  <c r="AD14" i="9" s="1"/>
  <c r="F3" i="2"/>
  <c r="F14" i="2" s="1"/>
  <c r="AA104" i="1"/>
  <c r="AD7" i="9" l="1"/>
  <c r="AD18" i="9"/>
  <c r="U72" i="1"/>
  <c r="V72" i="1" s="1"/>
  <c r="W72" i="1" s="1"/>
  <c r="U111" i="1"/>
  <c r="V111" i="1" s="1"/>
  <c r="W111" i="1" s="1"/>
  <c r="U4" i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B23" i="3"/>
  <c r="B24" i="3" s="1"/>
  <c r="D12" i="6"/>
  <c r="B15" i="3"/>
  <c r="B16" i="3"/>
  <c r="D19" i="6"/>
  <c r="H10" i="2"/>
  <c r="AF14" i="9" s="1"/>
  <c r="H14" i="2" l="1"/>
  <c r="AF7" i="9"/>
  <c r="AF18" i="9"/>
  <c r="D23" i="6"/>
  <c r="V3" i="1"/>
  <c r="U1" i="1"/>
  <c r="D38" i="6"/>
  <c r="J7" i="3"/>
  <c r="V92" i="1"/>
  <c r="W92" i="1" s="1"/>
  <c r="D36" i="6"/>
  <c r="J5" i="3"/>
  <c r="D33" i="6"/>
  <c r="Q9" i="9" s="1"/>
  <c r="V86" i="1"/>
  <c r="W86" i="1" s="1"/>
  <c r="J2" i="3"/>
  <c r="K8" i="9" s="1"/>
  <c r="D39" i="6"/>
  <c r="V50" i="1"/>
  <c r="W50" i="1" s="1"/>
  <c r="J8" i="3"/>
  <c r="D35" i="6"/>
  <c r="V34" i="1"/>
  <c r="W34" i="1" s="1"/>
  <c r="J4" i="3"/>
  <c r="D34" i="6"/>
  <c r="V15" i="1"/>
  <c r="W15" i="1" s="1"/>
  <c r="J3" i="3"/>
  <c r="V8" i="1"/>
  <c r="W8" i="1" s="1"/>
  <c r="D37" i="6"/>
  <c r="J6" i="3"/>
  <c r="B17" i="3"/>
  <c r="B29" i="3"/>
  <c r="AO9" i="9" s="1"/>
  <c r="B33" i="3"/>
  <c r="AO13" i="9" s="1"/>
  <c r="B31" i="3"/>
  <c r="AO11" i="9" s="1"/>
  <c r="B30" i="3"/>
  <c r="AO10" i="9" s="1"/>
  <c r="B32" i="3"/>
  <c r="AO12" i="9" s="1"/>
  <c r="B28" i="3"/>
  <c r="AO8" i="9" s="1"/>
  <c r="B27" i="3"/>
  <c r="AO7" i="9" s="1"/>
  <c r="L6" i="3" l="1"/>
  <c r="M12" i="9" s="1"/>
  <c r="K12" i="9"/>
  <c r="F37" i="6"/>
  <c r="S13" i="9" s="1"/>
  <c r="Q13" i="9"/>
  <c r="L3" i="3"/>
  <c r="M9" i="9" s="1"/>
  <c r="K9" i="9"/>
  <c r="F34" i="6"/>
  <c r="S10" i="9" s="1"/>
  <c r="Q10" i="9"/>
  <c r="L4" i="3"/>
  <c r="M10" i="9" s="1"/>
  <c r="K10" i="9"/>
  <c r="F35" i="6"/>
  <c r="S11" i="9" s="1"/>
  <c r="Q11" i="9"/>
  <c r="L8" i="3"/>
  <c r="M14" i="9" s="1"/>
  <c r="K14" i="9"/>
  <c r="F39" i="6"/>
  <c r="S15" i="9" s="1"/>
  <c r="Q15" i="9"/>
  <c r="L5" i="3"/>
  <c r="M11" i="9" s="1"/>
  <c r="K11" i="9"/>
  <c r="F36" i="6"/>
  <c r="S12" i="9" s="1"/>
  <c r="Q12" i="9"/>
  <c r="L7" i="3"/>
  <c r="M13" i="9" s="1"/>
  <c r="K13" i="9"/>
  <c r="F38" i="6"/>
  <c r="S14" i="9" s="1"/>
  <c r="Q14" i="9"/>
  <c r="L2" i="3"/>
  <c r="M8" i="9" s="1"/>
  <c r="J9" i="3"/>
  <c r="F33" i="6"/>
  <c r="D40" i="6"/>
  <c r="Q16" i="9" s="1"/>
  <c r="L9" i="3"/>
  <c r="W3" i="1"/>
  <c r="V1" i="1"/>
  <c r="F40" i="6" l="1"/>
  <c r="S16" i="9" s="1"/>
  <c r="S9" i="9"/>
</calcChain>
</file>

<file path=xl/sharedStrings.xml><?xml version="1.0" encoding="utf-8"?>
<sst xmlns="http://schemas.openxmlformats.org/spreadsheetml/2006/main" count="2817" uniqueCount="483">
  <si>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</si>
  <si>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</si>
  <si>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</si>
  <si>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</si>
  <si>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</si>
  <si>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</si>
  <si>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</si>
  <si>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</si>
  <si>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</si>
  <si>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</si>
  <si>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</si>
  <si>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</si>
  <si>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</si>
  <si>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</si>
  <si>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</si>
  <si>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</si>
  <si>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</si>
  <si>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</si>
  <si>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</si>
  <si>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</si>
  <si>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</si>
  <si>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</si>
  <si>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</si>
  <si>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</si>
  <si>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</si>
  <si>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</si>
  <si>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</si>
  <si>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</si>
  <si>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</si>
  <si>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</si>
  <si>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</si>
  <si>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</si>
  <si>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</si>
  <si>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</si>
  <si>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</si>
  <si>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</si>
  <si>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</si>
  <si>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</si>
  <si>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</si>
  <si>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</si>
  <si>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</si>
  <si>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</si>
  <si>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</si>
  <si>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</si>
  <si>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</si>
  <si>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</si>
  <si>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</si>
  <si>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</si>
  <si>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</si>
  <si>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</si>
  <si>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</si>
  <si>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</si>
  <si>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</si>
  <si>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</si>
  <si>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</si>
  <si>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</si>
  <si>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</si>
  <si>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</si>
  <si>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</si>
  <si>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</si>
  <si>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</si>
  <si>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</si>
  <si>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</si>
  <si>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</si>
  <si>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</si>
  <si>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</si>
  <si>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</si>
  <si>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</si>
  <si>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</si>
  <si>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</si>
  <si>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</si>
  <si>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</si>
  <si>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</si>
  <si>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</si>
  <si>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</si>
  <si>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</si>
  <si>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</si>
  <si>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</si>
  <si>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</si>
  <si>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</si>
  <si>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</si>
  <si>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</si>
  <si>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</si>
  <si>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</si>
  <si>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</si>
  <si>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</si>
  <si>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</si>
  <si>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</si>
  <si>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</si>
  <si>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</si>
  <si>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</si>
  <si>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</si>
  <si>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</si>
  <si>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</si>
  <si>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</si>
  <si>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</si>
  <si>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</si>
  <si>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</si>
  <si>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</si>
  <si>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</si>
  <si>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</si>
  <si>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</si>
  <si>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</si>
  <si>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</si>
  <si>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</si>
  <si>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</si>
  <si>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</si>
  <si>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</si>
  <si>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</si>
  <si>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</si>
  <si>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</si>
  <si>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</si>
  <si>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</si>
  <si>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</si>
  <si>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Piotr Zięba</t>
  </si>
  <si>
    <t>Majcherek</t>
  </si>
  <si>
    <t>Małgorzata</t>
  </si>
  <si>
    <t>rezygnacja z osoby towarzyszacej 9.10</t>
  </si>
  <si>
    <t>Osiecka</t>
  </si>
  <si>
    <t>Bartek Bałut</t>
  </si>
  <si>
    <t>Przerada</t>
  </si>
  <si>
    <t>Róża</t>
  </si>
  <si>
    <t>rezygnacja 9.10</t>
  </si>
  <si>
    <t>Stojecka</t>
  </si>
  <si>
    <t>Świtoń</t>
  </si>
  <si>
    <t>Dawid Piotr</t>
  </si>
  <si>
    <t>Zaród</t>
  </si>
  <si>
    <t>Kacper</t>
  </si>
  <si>
    <t>Daria Koch</t>
  </si>
  <si>
    <t>Piotr Sobczyk</t>
  </si>
  <si>
    <t>Walicka</t>
  </si>
  <si>
    <t>Michalina</t>
  </si>
  <si>
    <t>Michał Konieczny</t>
  </si>
  <si>
    <t>Żołdak</t>
  </si>
  <si>
    <t>Szymański</t>
  </si>
  <si>
    <t>Adam</t>
  </si>
  <si>
    <t>Janik</t>
  </si>
  <si>
    <t>Marcin Adamcewicz</t>
  </si>
  <si>
    <t>Krupa</t>
  </si>
  <si>
    <t>Antonina</t>
  </si>
  <si>
    <t>Ernest Jędrasiak</t>
  </si>
  <si>
    <t>Radkow</t>
  </si>
  <si>
    <t>Hubert Zakrzewski</t>
  </si>
  <si>
    <t>Os. towarzysząca dodana 7.09.26</t>
  </si>
  <si>
    <t>Jadczyk</t>
  </si>
  <si>
    <t>Skalik</t>
  </si>
  <si>
    <t>Jessica</t>
  </si>
  <si>
    <t>Oskar Gnoiński</t>
  </si>
  <si>
    <t>Wróblewska</t>
  </si>
  <si>
    <t>Owsiana</t>
  </si>
  <si>
    <t>Szymon Owsiany</t>
  </si>
  <si>
    <t>Kłosińska</t>
  </si>
  <si>
    <t>Angelika</t>
  </si>
  <si>
    <t>Mielczarek</t>
  </si>
  <si>
    <t>Adasiak</t>
  </si>
  <si>
    <t>Maria Chycka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</si>
  <si>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</si>
  <si>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</si>
  <si>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</si>
  <si>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</si>
  <si>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</si>
  <si>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</si>
  <si>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</si>
  <si>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</si>
  <si>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</si>
  <si>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</si>
  <si>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</si>
  <si>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</si>
  <si>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</si>
  <si>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</si>
  <si>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zrezygnowała z Os. Tow. 22.09</t>
  </si>
  <si>
    <t>Pasak</t>
  </si>
  <si>
    <t>Filip</t>
  </si>
  <si>
    <t>Wieczorek</t>
  </si>
  <si>
    <t>Balicka</t>
  </si>
  <si>
    <t>Kuba Zgieł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</si>
  <si>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</si>
  <si>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</si>
  <si>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</si>
  <si>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</si>
  <si>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</si>
  <si>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</si>
  <si>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</si>
  <si>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</si>
  <si>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</si>
  <si>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</si>
  <si>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</si>
  <si>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</si>
  <si>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</si>
  <si>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</si>
  <si>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</si>
  <si>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</si>
  <si>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</si>
  <si>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</si>
  <si>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</si>
  <si>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</si>
  <si>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</si>
  <si>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</si>
  <si>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</si>
  <si>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</si>
  <si>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</si>
  <si>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</si>
  <si>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</si>
  <si>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</si>
  <si>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</si>
  <si>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</si>
  <si>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</si>
  <si>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</si>
  <si>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</si>
  <si>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</si>
  <si>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</si>
  <si>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</si>
  <si>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</si>
  <si>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</si>
  <si>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</si>
  <si>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</si>
  <si>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</si>
  <si>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</si>
  <si>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</si>
  <si>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</si>
  <si>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</si>
  <si>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</si>
  <si>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</si>
  <si>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</si>
  <si>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</si>
  <si>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</si>
  <si>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</si>
  <si>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</si>
  <si>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</si>
  <si>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</si>
  <si>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Adam Rusajczyk;zmiana 9.10</t>
  </si>
  <si>
    <t>Kopka</t>
  </si>
  <si>
    <t>Zmiana decyzji 12.10 na bez os. tow.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</si>
  <si>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</si>
  <si>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</si>
  <si>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</si>
  <si>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</si>
  <si>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</si>
  <si>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</si>
  <si>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</si>
  <si>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</si>
  <si>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</si>
  <si>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</si>
  <si>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</si>
  <si>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</si>
  <si>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</si>
  <si>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</si>
  <si>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</si>
  <si>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</si>
  <si>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</si>
  <si>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</si>
  <si>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</si>
  <si>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</si>
  <si>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</si>
  <si>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</si>
  <si>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</si>
  <si>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</si>
  <si>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</si>
  <si>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</si>
  <si>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</si>
  <si>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</si>
  <si>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</si>
  <si>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</si>
  <si>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</si>
  <si>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</si>
  <si>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</si>
  <si>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</si>
  <si>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</si>
  <si>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</si>
  <si>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</si>
  <si>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</si>
  <si>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</si>
  <si>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</si>
  <si>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</si>
  <si>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</si>
  <si>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Natalia Bryl;zmiana 9.10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</si>
  <si>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</si>
  <si>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</si>
  <si>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</si>
  <si>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</si>
  <si>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</si>
  <si>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</si>
  <si>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</si>
  <si>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</si>
  <si>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</si>
  <si>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</si>
  <si>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zmienione 7.10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</si>
  <si>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</si>
  <si>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</si>
  <si>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</si>
  <si>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</si>
  <si>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</si>
  <si>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</si>
  <si>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</si>
  <si>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</si>
  <si>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</si>
  <si>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</si>
  <si>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</si>
  <si>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</si>
  <si>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</si>
  <si>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</si>
  <si>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</si>
  <si>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</si>
  <si>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</si>
  <si>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</si>
  <si>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</si>
  <si>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</si>
  <si>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</si>
  <si>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</si>
  <si>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</si>
  <si>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</si>
  <si>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</si>
  <si>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</si>
  <si>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</si>
  <si>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</si>
  <si>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</si>
  <si>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</si>
  <si>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</si>
  <si>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</si>
  <si>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</si>
  <si>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</si>
  <si>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</si>
  <si>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</si>
  <si>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</si>
  <si>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</si>
  <si>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</si>
  <si>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</si>
  <si>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</si>
  <si>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</si>
  <si>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</si>
  <si>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</si>
  <si>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</si>
  <si>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</si>
  <si>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</si>
  <si>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Zmiana decyzji 25.09 na bez os. tow.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</si>
  <si>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</si>
  <si>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</si>
  <si>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</si>
  <si>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</si>
  <si>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</si>
  <si>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</si>
  <si>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</si>
  <si>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</si>
  <si>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</si>
  <si>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</si>
  <si>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</si>
  <si>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</si>
  <si>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</si>
  <si>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</si>
  <si>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</si>
  <si>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</si>
  <si>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</si>
  <si>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</si>
  <si>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</si>
  <si>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</si>
  <si>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</si>
  <si>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</si>
  <si>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</si>
  <si>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</si>
  <si>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</si>
  <si>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</si>
  <si>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</si>
  <si>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</si>
  <si>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</si>
  <si>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</si>
  <si>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</si>
  <si>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</si>
  <si>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</si>
  <si>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</si>
  <si>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</si>
  <si>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</si>
  <si>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</si>
  <si>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</si>
  <si>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</si>
  <si>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r>
      <rPr>
        <i/>
        <sz val="10"/>
        <color rgb="FF000000"/>
        <rFont val="Aptos"/>
      </rPr>
      <t>zakup Kasetki na pieniądze 75.85 (za</t>
    </r>
    <r>
      <rPr>
        <i/>
        <sz val="10"/>
        <color rgb="FF70AD47"/>
        <rFont val="Aptos"/>
      </rPr>
      <t>płac</t>
    </r>
    <r>
      <rPr>
        <i/>
        <sz val="10"/>
        <color rgb="FF000000"/>
        <rFont val="Aptos"/>
      </rPr>
      <t>one)-&gt; Zaiks i inne 1100 zł(do opłacenia)</t>
    </r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</si>
  <si>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</si>
  <si>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</si>
  <si>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</si>
  <si>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</si>
  <si>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</si>
  <si>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</si>
  <si>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</si>
  <si>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</si>
  <si>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</si>
  <si>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</si>
  <si>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</si>
  <si>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</si>
  <si>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</si>
  <si>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</si>
  <si>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</si>
  <si>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</si>
  <si>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</si>
  <si>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</si>
  <si>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</si>
  <si>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</si>
  <si>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</si>
  <si>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</si>
  <si>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</si>
  <si>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</si>
  <si>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</si>
  <si>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</si>
  <si>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</si>
  <si>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</si>
  <si>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</si>
  <si>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</si>
  <si>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</si>
  <si>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</si>
  <si>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</si>
  <si>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</si>
  <si>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</si>
  <si>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</si>
  <si>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</si>
  <si>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</si>
  <si>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</si>
  <si>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</si>
  <si>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</si>
  <si>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</si>
  <si>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</si>
  <si>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</si>
  <si>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</si>
  <si>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</si>
  <si>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</si>
  <si>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</si>
  <si>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</si>
  <si>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</si>
  <si>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</si>
  <si>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</si>
  <si>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</si>
  <si>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</si>
  <si>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</si>
  <si>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</si>
  <si>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</si>
  <si>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</si>
  <si>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</si>
  <si>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</si>
  <si>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</si>
  <si>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</si>
  <si>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</si>
  <si>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</si>
  <si>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</si>
  <si>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</si>
  <si>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</si>
  <si>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</si>
  <si>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</si>
  <si>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</si>
  <si>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</si>
  <si>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</si>
  <si>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</si>
  <si>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</si>
  <si>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</si>
  <si>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Wydatki</t>
  </si>
  <si>
    <t>Typ uczestnika</t>
  </si>
  <si>
    <t>Wysokosc skladki</t>
  </si>
  <si>
    <t>Kolumna1</t>
  </si>
  <si>
    <t>Kolumna2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</si>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</sst>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zł&quot;_-;\-* #,##0.00\ &quot;zł&quot;_-;_-* &quot;-&quot;??\ &quot;zł&quot;_-;_-@_-"/>
    <numFmt numFmtId="165" formatCode="_-* #,##0.00\ [$zł-415]_-;\-* #,##0.00\ [$zł-415]_-;_-* &quot;-&quot;??\ [$zł-415]_-;_-@_-"/>
    <numFmt numFmtId="166" formatCode="_(* #,##0_);_(* \(#,##0\);_(* &quot;-&quot;??_);_(@_)"/>
    <numFmt numFmtId="167" formatCode="_-* #,##0_-;\-* #,##0_-;_-* &quot;-&quot;??_-;_-@_-"/>
  </numFmts>
  <fonts count="24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  <font>
      <i/>
      <sz val="10"/>
      <color rgb="FF70AD47"/>
      <name val="Aptos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5" fontId="0" fillId="0" borderId="0" xfId="0" applyNumberFormat="1"/>
    <xf numFmtId="165" fontId="0" fillId="0" borderId="0" xfId="0" applyNumberFormat="1" applyAlignment="1"/>
    <xf numFmtId="165" fontId="0" fillId="0" borderId="1" xfId="0" applyNumberFormat="1" applyBorder="1"/>
    <xf numFmtId="165" fontId="0" fillId="0" borderId="0" xfId="0" applyNumberFormat="1" applyBorder="1"/>
    <xf numFmtId="165" fontId="0" fillId="0" borderId="0" xfId="0" applyNumberFormat="1" applyBorder="1" applyAlignment="1"/>
    <xf numFmtId="165" fontId="0" fillId="0" borderId="2" xfId="0" applyNumberFormat="1" applyBorder="1" applyAlignment="1"/>
    <xf numFmtId="165" fontId="0" fillId="0" borderId="2" xfId="0" applyNumberFormat="1" applyBorder="1"/>
    <xf numFmtId="166" fontId="0" fillId="0" borderId="1" xfId="0" applyNumberFormat="1" applyBorder="1"/>
    <xf numFmtId="166" fontId="0" fillId="0" borderId="0" xfId="0" applyNumberFormat="1" applyBorder="1" applyAlignment="1"/>
    <xf numFmtId="165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5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5" fontId="2" fillId="0" borderId="4" xfId="0" applyNumberFormat="1" applyFon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7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2" fillId="0" borderId="1" xfId="0" applyNumberFormat="1" applyFont="1" applyBorder="1" applyAlignment="1"/>
    <xf numFmtId="165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7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16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164" fontId="12" fillId="0" borderId="3" xfId="0" applyNumberFormat="1" applyFont="1" applyFill="1" applyBorder="1" applyAlignment="1">
      <alignment horizontal="right" vertical="center"/>
    </xf>
    <xf numFmtId="16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16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6" fontId="0" fillId="3" borderId="0" xfId="0" applyNumberFormat="1" applyFill="1" applyBorder="1" applyAlignment="1">
      <alignment horizontal="center" vertical="center"/>
    </xf>
    <xf numFmtId="165" fontId="1" fillId="0" borderId="0" xfId="0" applyNumberFormat="1" applyFont="1" applyAlignment="1">
      <alignment horizontal="right" vertical="center" indent="1"/>
    </xf>
    <xf numFmtId="165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16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0" fillId="0" borderId="8" xfId="0" applyNumberFormat="1" applyBorder="1"/>
    <xf numFmtId="165" fontId="1" fillId="0" borderId="0" xfId="0" applyNumberFormat="1" applyFont="1" applyBorder="1" applyAlignment="1">
      <alignment horizontal="center" vertical="center" wrapText="1"/>
    </xf>
    <xf numFmtId="165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7" fontId="20" fillId="0" borderId="0" xfId="0" applyNumberFormat="1" applyFont="1"/>
    <xf numFmtId="164" fontId="1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8" fillId="0" borderId="6" xfId="0" applyFont="1" applyBorder="1"/>
    <xf numFmtId="165" fontId="3" fillId="0" borderId="2" xfId="0" applyNumberFormat="1" applyFont="1" applyBorder="1" applyAlignment="1">
      <alignment horizontal="right" vertical="center"/>
    </xf>
    <xf numFmtId="165" fontId="20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5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64" fontId="11" fillId="0" borderId="3" xfId="0" applyNumberFormat="1" applyFont="1" applyBorder="1" applyAlignment="1"/>
    <xf numFmtId="164" fontId="11" fillId="0" borderId="3" xfId="0" applyNumberFormat="1" applyFont="1" applyBorder="1" applyAlignment="1">
      <alignment horizontal="center" vertical="center"/>
    </xf>
    <xf numFmtId="165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  <xf numFmtId="0" fontId="0" fillId="4" borderId="0" xfId="0" applyFill="1"/>
  </cellXfs>
  <cellStyles count="1">
    <cellStyle name="Normal" xfId="0" builtinId="0"/>
  </cellStyles>
  <dxfs count="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6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6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29</xdr:row>
      <xdr:rowOff>47625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29</xdr:row>
      <xdr:rowOff>85725</xdr:rowOff>
    </xdr:from>
    <xdr:to>
      <xdr:col>29</xdr:col>
      <xdr:colOff>457200</xdr:colOff>
      <xdr:row>121</xdr:row>
      <xdr:rowOff>66675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>
      <filters>
        <filter val="3D1"/>
      </filters>
    </filterColumn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21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20">
      <calculatedColumnFormula>Podsumowanie!J2</calculatedColumnFormula>
    </tableColumn>
    <tableColumn id="5" xr3:uid="{4303B78D-A405-4793-B48A-4D81DD2787AC}" name="Składki zebrane" dataDxfId="19">
      <calculatedColumnFormula>Podsumowanie!K2</calculatedColumnFormula>
    </tableColumn>
    <tableColumn id="6" xr3:uid="{57765080-FD7C-4FAA-8AF2-D08F22822378}" name="Delta" dataDxfId="18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17">
      <calculatedColumnFormula>'Do wiadomości rodziców'!D33</calculatedColumnFormula>
    </tableColumn>
    <tableColumn id="3" xr3:uid="{72120E01-8410-473A-A07A-EE79D6A61B55}" name="Zebrane" dataDxfId="16">
      <calculatedColumnFormula>'Do wiadomości rodziców'!E33</calculatedColumnFormula>
    </tableColumn>
    <tableColumn id="4" xr3:uid="{D8999F78-E353-4A28-9C51-08FD47013472}" name="Delta" dataDxfId="15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14">
      <calculatedColumnFormula>Wydatki!F3</calculatedColumnFormula>
    </tableColumn>
    <tableColumn id="3" xr3:uid="{6C391F28-0494-4B85-B99F-480B3CA91F14}" name="Zaliczka" dataDxfId="13">
      <calculatedColumnFormula>Wydatki!G3</calculatedColumnFormula>
    </tableColumn>
    <tableColumn id="4" xr3:uid="{5E495734-D7AC-4AF5-B386-F2DE4C3FCD8D}" name="Pozostało" dataDxfId="12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11">
      <calculatedColumnFormula>Podsumowanie!B27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10" totalsRowDxfId="9">
  <autoFilter ref="A1:I234" xr:uid="{47147B98-6371-4225-B21A-FFE9D627E903}"/>
  <tableColumns count="9">
    <tableColumn id="1" xr3:uid="{F78AEAEB-D0CB-4F82-9BA0-F0F9450E5207}" name="ID" totalsRowDxfId="8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7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6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5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4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3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2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0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tabSelected="1" workbookViewId="0">
      <selection activeCell="Q236" sqref="Q236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1750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0</v>
      </c>
      <c r="L1" s="4">
        <f t="shared" si="0"/>
        <v>0</v>
      </c>
      <c r="M1" s="4">
        <f t="shared" si="0"/>
        <v>0</v>
      </c>
      <c r="N1" s="4">
        <f t="shared" si="0"/>
        <v>0</v>
      </c>
      <c r="O1" s="4">
        <f t="shared" si="0"/>
        <v>0</v>
      </c>
      <c r="P1" s="4">
        <f t="shared" si="0"/>
        <v>0</v>
      </c>
      <c r="Q1" s="4">
        <f t="shared" si="0"/>
        <v>8350</v>
      </c>
      <c r="R1" s="4">
        <f t="shared" si="0"/>
        <v>0</v>
      </c>
      <c r="S1" s="4">
        <f t="shared" si="0"/>
        <v>0</v>
      </c>
      <c r="T1" s="4">
        <f>SUBTOTAL(9,T3:T614)</f>
        <v>10100</v>
      </c>
      <c r="U1" s="4">
        <f>SUBTOTAL(9,U3:U614)</f>
        <v>18830</v>
      </c>
      <c r="V1" s="4">
        <f>SUBTOTAL(9,V3:V614)</f>
        <v>-8730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hidden="1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 hidden="1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Q5" s="4">
        <v>200</v>
      </c>
      <c r="T5" s="4">
        <f t="shared" si="3"/>
        <v>250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-180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 hidden="1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 hidden="1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Q8" s="4">
        <v>200</v>
      </c>
      <c r="T8" s="4">
        <f t="shared" si="3"/>
        <v>250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-450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 hidden="1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Q10" s="4">
        <v>200</v>
      </c>
      <c r="T10" s="4">
        <f t="shared" si="3"/>
        <v>250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-180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Q11" s="4">
        <v>200</v>
      </c>
      <c r="T11" s="4">
        <f t="shared" si="3"/>
        <v>250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-450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 hidden="1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Q13" s="4">
        <v>200</v>
      </c>
      <c r="T13" s="4">
        <f t="shared" si="3"/>
        <v>250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-180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 hidden="1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 hidden="1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Q15" s="4">
        <v>200</v>
      </c>
      <c r="T15" s="4">
        <f t="shared" si="3"/>
        <v>250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-450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 hidden="1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Q16" s="4">
        <v>300</v>
      </c>
      <c r="T16" s="4">
        <f t="shared" si="3"/>
        <v>350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-350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Q17" s="4">
        <v>200</v>
      </c>
      <c r="T17" s="4">
        <f t="shared" si="3"/>
        <v>250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-180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 hidden="1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Q18" s="4">
        <v>100</v>
      </c>
      <c r="T18" s="4">
        <f t="shared" si="3"/>
        <v>150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-280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 hidden="1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Q19" s="4">
        <v>200</v>
      </c>
      <c r="T19" s="4">
        <f t="shared" si="3"/>
        <v>250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-450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 hidden="1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Q20" s="4">
        <v>100</v>
      </c>
      <c r="T20" s="4">
        <f t="shared" si="3"/>
        <v>150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-550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 hidden="1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 hidden="1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Q22" s="4">
        <v>100</v>
      </c>
      <c r="T22" s="4">
        <f t="shared" si="3"/>
        <v>150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-550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 hidden="1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Q23" s="4">
        <v>100</v>
      </c>
      <c r="T23" s="4">
        <f t="shared" si="3"/>
        <v>150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-550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Q24" s="4">
        <v>200</v>
      </c>
      <c r="T24" s="4">
        <f t="shared" si="3"/>
        <v>250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-450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 hidden="1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Q25" s="4">
        <v>400</v>
      </c>
      <c r="T25" s="4">
        <f t="shared" si="3"/>
        <v>450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-250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Q26" s="4">
        <v>200</v>
      </c>
      <c r="T26" s="4">
        <f t="shared" si="3"/>
        <v>250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-180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Q27" s="4">
        <v>650</v>
      </c>
      <c r="T27" s="4">
        <f t="shared" si="3"/>
        <v>700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0</v>
      </c>
      <c r="W27" s="55" t="str">
        <f t="shared" si="2"/>
        <v/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Q28" s="4">
        <v>200</v>
      </c>
      <c r="T28" s="4">
        <f t="shared" si="3"/>
        <v>250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-180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Q29" s="4">
        <v>200</v>
      </c>
      <c r="T29" s="4">
        <f t="shared" si="3"/>
        <v>250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-180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Q30" s="4">
        <v>200</v>
      </c>
      <c r="T30" s="4">
        <f t="shared" si="3"/>
        <v>250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-450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 hidden="1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Q31" s="4">
        <v>100</v>
      </c>
      <c r="T31" s="4">
        <f t="shared" si="3"/>
        <v>150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-280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 hidden="1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Q32" s="4">
        <v>200</v>
      </c>
      <c r="T32" s="4">
        <f t="shared" si="3"/>
        <v>250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-450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 hidden="1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Q33" s="4">
        <v>200</v>
      </c>
      <c r="T33" s="4">
        <f t="shared" si="3"/>
        <v>250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-450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 hidden="1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P34" s="4">
        <v>100</v>
      </c>
      <c r="T34" s="4">
        <f t="shared" si="3"/>
        <v>150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-550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 hidden="1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P35" s="4">
        <v>100</v>
      </c>
      <c r="T35" s="4">
        <f t="shared" si="3"/>
        <v>150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-550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 hidden="1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P36" s="4">
        <v>100</v>
      </c>
      <c r="T36" s="4">
        <f t="shared" si="3"/>
        <v>150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-550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 hidden="1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P37" s="4">
        <v>100</v>
      </c>
      <c r="T37" s="4">
        <f t="shared" si="3"/>
        <v>150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-280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 hidden="1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P38" s="4">
        <v>100</v>
      </c>
      <c r="T38" s="4">
        <f t="shared" si="3"/>
        <v>150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-550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 hidden="1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P39" s="4">
        <v>100</v>
      </c>
      <c r="T39" s="4">
        <f t="shared" si="3"/>
        <v>150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-550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 hidden="1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P40" s="4">
        <v>100</v>
      </c>
      <c r="T40" s="4">
        <f t="shared" si="3"/>
        <v>150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-550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 hidden="1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P41" s="4">
        <v>100</v>
      </c>
      <c r="T41" s="4">
        <f t="shared" si="3"/>
        <v>150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-550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 hidden="1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P42" s="4">
        <v>100</v>
      </c>
      <c r="T42" s="4">
        <f t="shared" si="3"/>
        <v>150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-550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 hidden="1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P43" s="4">
        <v>100</v>
      </c>
      <c r="T43" s="4">
        <f t="shared" si="3"/>
        <v>150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-550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 hidden="1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P44" s="4">
        <v>100</v>
      </c>
      <c r="T44" s="4">
        <f t="shared" si="3"/>
        <v>150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-280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 hidden="1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 hidden="1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P46" s="4">
        <v>100</v>
      </c>
      <c r="T46" s="4">
        <f t="shared" si="3"/>
        <v>150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-550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Q47" s="4">
        <v>200</v>
      </c>
      <c r="T47" s="4">
        <f t="shared" si="3"/>
        <v>250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-450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Q48" s="4">
        <v>200</v>
      </c>
      <c r="T48" s="4">
        <f t="shared" si="3"/>
        <v>250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-450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Q49" s="4">
        <v>200</v>
      </c>
      <c r="T49" s="4">
        <f t="shared" si="3"/>
        <v>250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-450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 hidden="1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F50" s="2" t="s">
        <v>114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 hidden="1">
      <c r="A51" s="4" t="s">
        <v>115</v>
      </c>
      <c r="B51" s="4" t="s">
        <v>116</v>
      </c>
      <c r="C51" s="2" t="s">
        <v>113</v>
      </c>
      <c r="D51" s="2" t="s">
        <v>27</v>
      </c>
      <c r="E51" s="2" t="s">
        <v>33</v>
      </c>
      <c r="F51" s="2" t="s">
        <v>117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430</v>
      </c>
      <c r="V51" s="4">
        <f t="shared" si="1"/>
        <v>-380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 hidden="1">
      <c r="A52" s="4" t="s">
        <v>118</v>
      </c>
      <c r="B52" s="4" t="s">
        <v>73</v>
      </c>
      <c r="C52" s="2" t="s">
        <v>113</v>
      </c>
      <c r="D52" s="2" t="s">
        <v>27</v>
      </c>
      <c r="E52" s="2" t="s">
        <v>27</v>
      </c>
      <c r="F52" s="2" t="s">
        <v>119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 hidden="1">
      <c r="A53" s="111" t="s">
        <v>120</v>
      </c>
      <c r="B53" s="4" t="s">
        <v>121</v>
      </c>
      <c r="C53" s="2" t="s">
        <v>113</v>
      </c>
      <c r="D53" s="2" t="s">
        <v>33</v>
      </c>
      <c r="E53" s="2" t="s">
        <v>33</v>
      </c>
      <c r="F53" s="2" t="s">
        <v>122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0</v>
      </c>
      <c r="V53" s="4">
        <f t="shared" si="1"/>
        <v>50</v>
      </c>
      <c r="W53" s="55" t="str">
        <f t="shared" si="2"/>
        <v>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 hidden="1">
      <c r="A54" s="4" t="s">
        <v>123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 hidden="1">
      <c r="A55" s="4" t="s">
        <v>124</v>
      </c>
      <c r="B55" s="4" t="s">
        <v>73</v>
      </c>
      <c r="C55" s="2" t="s">
        <v>113</v>
      </c>
      <c r="D55" s="2" t="s">
        <v>27</v>
      </c>
      <c r="E55" s="2" t="s">
        <v>27</v>
      </c>
      <c r="F55" s="2" t="s">
        <v>125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 hidden="1">
      <c r="A56" s="4" t="s">
        <v>126</v>
      </c>
      <c r="B56" s="4" t="s">
        <v>127</v>
      </c>
      <c r="C56" s="2" t="s">
        <v>113</v>
      </c>
      <c r="D56" s="2" t="s">
        <v>27</v>
      </c>
      <c r="E56" s="2" t="s">
        <v>27</v>
      </c>
      <c r="F56" s="2" t="s">
        <v>128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 hidden="1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F57" s="2" t="s">
        <v>129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 hidden="1">
      <c r="A58" s="4" t="s">
        <v>130</v>
      </c>
      <c r="B58" s="4" t="s">
        <v>131</v>
      </c>
      <c r="C58" s="2" t="s">
        <v>113</v>
      </c>
      <c r="D58" s="2" t="s">
        <v>27</v>
      </c>
      <c r="E58" s="2" t="s">
        <v>27</v>
      </c>
      <c r="F58" s="2" t="s">
        <v>132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 hidden="1">
      <c r="A59" s="4" t="s">
        <v>133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 hidden="1">
      <c r="A60" s="4" t="s">
        <v>134</v>
      </c>
      <c r="B60" s="4" t="s">
        <v>135</v>
      </c>
      <c r="C60" s="2" t="s">
        <v>113</v>
      </c>
      <c r="D60" s="2" t="s">
        <v>27</v>
      </c>
      <c r="E60" s="2" t="s">
        <v>33</v>
      </c>
      <c r="F60" s="2" t="s">
        <v>117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430</v>
      </c>
      <c r="V60" s="4">
        <f t="shared" si="1"/>
        <v>-380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 hidden="1">
      <c r="A61" s="4" t="s">
        <v>136</v>
      </c>
      <c r="B61" s="4" t="s">
        <v>92</v>
      </c>
      <c r="C61" s="2" t="s">
        <v>113</v>
      </c>
      <c r="D61" s="2" t="s">
        <v>27</v>
      </c>
      <c r="E61" s="2" t="s">
        <v>27</v>
      </c>
      <c r="F61" s="2" t="s">
        <v>137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 hidden="1">
      <c r="A62" s="4" t="s">
        <v>138</v>
      </c>
      <c r="B62" s="4" t="s">
        <v>139</v>
      </c>
      <c r="C62" s="2" t="s">
        <v>113</v>
      </c>
      <c r="D62" s="2" t="s">
        <v>27</v>
      </c>
      <c r="E62" s="2" t="s">
        <v>27</v>
      </c>
      <c r="F62" s="2" t="s">
        <v>140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 hidden="1">
      <c r="A63" s="4" t="s">
        <v>141</v>
      </c>
      <c r="B63" s="4" t="s">
        <v>65</v>
      </c>
      <c r="C63" s="2" t="s">
        <v>113</v>
      </c>
      <c r="D63" s="2" t="s">
        <v>27</v>
      </c>
      <c r="E63" s="2" t="s">
        <v>27</v>
      </c>
      <c r="F63" s="2" t="s">
        <v>142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143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 hidden="1">
      <c r="A64" s="111" t="s">
        <v>144</v>
      </c>
      <c r="B64" s="4" t="s">
        <v>52</v>
      </c>
      <c r="C64" s="2" t="s">
        <v>113</v>
      </c>
      <c r="D64" s="2" t="s">
        <v>33</v>
      </c>
      <c r="E64" s="2" t="s">
        <v>33</v>
      </c>
      <c r="F64" s="2" t="s">
        <v>122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0</v>
      </c>
      <c r="V64" s="4">
        <f t="shared" si="1"/>
        <v>50</v>
      </c>
      <c r="W64" s="55" t="str">
        <f t="shared" si="2"/>
        <v>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 hidden="1">
      <c r="A65" s="4" t="s">
        <v>145</v>
      </c>
      <c r="B65" s="4" t="s">
        <v>146</v>
      </c>
      <c r="C65" s="2" t="s">
        <v>113</v>
      </c>
      <c r="D65" s="2" t="s">
        <v>27</v>
      </c>
      <c r="E65" s="2" t="s">
        <v>27</v>
      </c>
      <c r="F65" s="2" t="s">
        <v>147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 hidden="1">
      <c r="A66" s="4" t="s">
        <v>148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P66" s="4">
        <v>100</v>
      </c>
      <c r="T66" s="4">
        <f t="shared" si="3"/>
        <v>150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-550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 hidden="1">
      <c r="A67" s="4" t="s">
        <v>149</v>
      </c>
      <c r="B67" s="4" t="s">
        <v>29</v>
      </c>
      <c r="C67" s="2" t="s">
        <v>113</v>
      </c>
      <c r="D67" s="2" t="s">
        <v>27</v>
      </c>
      <c r="E67" s="2" t="s">
        <v>27</v>
      </c>
      <c r="F67" s="2" t="s">
        <v>150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 hidden="1">
      <c r="A68" s="4" t="s">
        <v>151</v>
      </c>
      <c r="B68" s="4" t="s">
        <v>152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 hidden="1">
      <c r="A69" s="4" t="s">
        <v>153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 hidden="1">
      <c r="A70" s="4" t="s">
        <v>154</v>
      </c>
      <c r="B70" s="4" t="s">
        <v>63</v>
      </c>
      <c r="C70" s="2" t="s">
        <v>113</v>
      </c>
      <c r="D70" s="2" t="s">
        <v>27</v>
      </c>
      <c r="E70" s="2" t="s">
        <v>27</v>
      </c>
      <c r="F70" s="2" t="s">
        <v>155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 hidden="1">
      <c r="A71" s="4" t="s">
        <v>156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P71" s="4">
        <v>100</v>
      </c>
      <c r="T71" s="4">
        <f t="shared" si="6"/>
        <v>150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-280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 hidden="1">
      <c r="A72" s="4" t="s">
        <v>157</v>
      </c>
      <c r="B72" s="4" t="s">
        <v>100</v>
      </c>
      <c r="C72" s="2" t="s">
        <v>53</v>
      </c>
      <c r="D72" s="2" t="s">
        <v>27</v>
      </c>
      <c r="E72" s="2" t="s">
        <v>27</v>
      </c>
      <c r="G72" s="4">
        <v>50</v>
      </c>
      <c r="Q72" s="4">
        <v>650</v>
      </c>
      <c r="T72" s="4">
        <f t="shared" si="6"/>
        <v>700</v>
      </c>
      <c r="U72" s="36">
        <f>IF(Table2[[#This Row],[Nazwisko]]="","",IF(AND(D72="Nie",E72="Nie"),0,IF(AND(D72="Tak",E72="Nie"),Podsumowanie!$B$19,Podsumowanie!$C$19)))</f>
        <v>700</v>
      </c>
      <c r="V72" s="4">
        <f t="shared" si="4"/>
        <v>0</v>
      </c>
      <c r="W72" s="55" t="str">
        <f t="shared" si="5"/>
        <v/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 hidden="1">
      <c r="A73" s="4" t="s">
        <v>158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P73" s="4">
        <v>100</v>
      </c>
      <c r="T73" s="4">
        <f t="shared" si="6"/>
        <v>150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-550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 hidden="1">
      <c r="A74" s="4" t="s">
        <v>159</v>
      </c>
      <c r="B74" s="4" t="s">
        <v>160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 hidden="1">
      <c r="A75" s="4" t="s">
        <v>161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P75" s="4">
        <v>100</v>
      </c>
      <c r="T75" s="4">
        <f t="shared" si="6"/>
        <v>150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-550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 hidden="1">
      <c r="A76" s="4" t="s">
        <v>162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P76" s="4">
        <v>100</v>
      </c>
      <c r="T76" s="4">
        <f t="shared" si="6"/>
        <v>150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-280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 hidden="1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 hidden="1">
      <c r="A78" s="4" t="s">
        <v>163</v>
      </c>
      <c r="B78" s="4" t="s">
        <v>164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 hidden="1">
      <c r="A79" s="4" t="s">
        <v>108</v>
      </c>
      <c r="B79" s="4" t="s">
        <v>165</v>
      </c>
      <c r="C79" s="2" t="s">
        <v>87</v>
      </c>
      <c r="D79" s="2" t="s">
        <v>27</v>
      </c>
      <c r="E79" s="2" t="s">
        <v>27</v>
      </c>
      <c r="G79" s="4">
        <v>50</v>
      </c>
      <c r="P79" s="4">
        <v>100</v>
      </c>
      <c r="T79" s="4">
        <f t="shared" si="6"/>
        <v>150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-550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 hidden="1">
      <c r="A80" s="4" t="s">
        <v>166</v>
      </c>
      <c r="B80" s="4" t="s">
        <v>167</v>
      </c>
      <c r="C80" s="2" t="s">
        <v>87</v>
      </c>
      <c r="D80" s="2" t="s">
        <v>27</v>
      </c>
      <c r="E80" s="2" t="s">
        <v>33</v>
      </c>
      <c r="G80" s="4">
        <v>50</v>
      </c>
      <c r="P80" s="4">
        <v>100</v>
      </c>
      <c r="T80" s="4">
        <f t="shared" si="6"/>
        <v>150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-280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 hidden="1">
      <c r="A81" s="4" t="s">
        <v>168</v>
      </c>
      <c r="B81" s="4" t="s">
        <v>169</v>
      </c>
      <c r="C81" s="2" t="s">
        <v>87</v>
      </c>
      <c r="D81" s="2" t="s">
        <v>27</v>
      </c>
      <c r="E81" s="2" t="s">
        <v>33</v>
      </c>
      <c r="F81" s="2" t="s">
        <v>170</v>
      </c>
      <c r="G81" s="4">
        <v>50</v>
      </c>
      <c r="P81" s="4">
        <v>100</v>
      </c>
      <c r="T81" s="4">
        <f t="shared" si="6"/>
        <v>150</v>
      </c>
      <c r="U81" s="36">
        <f>IF(Table2[[#This Row],[Nazwisko]]="","",IF(AND(D81="Nie",E81="Nie"),0,IF(AND(D81="Tak",E81="Nie"),Podsumowanie!$B$19,Podsumowanie!$C$19)))</f>
        <v>430</v>
      </c>
      <c r="V81" s="4">
        <f t="shared" si="4"/>
        <v>-280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 hidden="1">
      <c r="A82" s="4" t="s">
        <v>171</v>
      </c>
      <c r="B82" s="4" t="s">
        <v>172</v>
      </c>
      <c r="C82" s="2" t="s">
        <v>87</v>
      </c>
      <c r="D82" s="2" t="s">
        <v>27</v>
      </c>
      <c r="E82" s="2" t="s">
        <v>33</v>
      </c>
      <c r="G82" s="4">
        <v>50</v>
      </c>
      <c r="P82" s="4">
        <v>100</v>
      </c>
      <c r="T82" s="4">
        <f t="shared" si="6"/>
        <v>150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-280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 hidden="1">
      <c r="A83" s="4" t="s">
        <v>173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 hidden="1">
      <c r="A84" s="4" t="s">
        <v>174</v>
      </c>
      <c r="B84" s="4" t="s">
        <v>65</v>
      </c>
      <c r="C84" s="2" t="s">
        <v>113</v>
      </c>
      <c r="D84" s="2" t="s">
        <v>27</v>
      </c>
      <c r="E84" s="2" t="s">
        <v>27</v>
      </c>
      <c r="F84" s="2" t="s">
        <v>175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 hidden="1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33</v>
      </c>
      <c r="F85" s="2" t="s">
        <v>117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430</v>
      </c>
      <c r="V85" s="4">
        <f t="shared" si="4"/>
        <v>-380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 hidden="1">
      <c r="A86" s="4" t="s">
        <v>176</v>
      </c>
      <c r="B86" s="4" t="s">
        <v>177</v>
      </c>
      <c r="C86" s="2" t="s">
        <v>178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 hidden="1">
      <c r="A87" s="4" t="s">
        <v>179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>
      <c r="A88" s="4" t="s">
        <v>180</v>
      </c>
      <c r="B88" s="4" t="s">
        <v>181</v>
      </c>
      <c r="C88" s="2" t="s">
        <v>32</v>
      </c>
      <c r="D88" s="2" t="s">
        <v>27</v>
      </c>
      <c r="E88" s="2" t="s">
        <v>33</v>
      </c>
      <c r="G88" s="4">
        <v>50</v>
      </c>
      <c r="Q88" s="4">
        <v>200</v>
      </c>
      <c r="T88" s="4">
        <f t="shared" si="6"/>
        <v>250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-180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 hidden="1">
      <c r="A89" s="4" t="s">
        <v>182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Q89" s="4">
        <v>200</v>
      </c>
      <c r="T89" s="4">
        <f t="shared" si="6"/>
        <v>250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-450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 hidden="1">
      <c r="A90" s="4" t="s">
        <v>183</v>
      </c>
      <c r="B90" s="4" t="s">
        <v>184</v>
      </c>
      <c r="C90" s="2" t="s">
        <v>53</v>
      </c>
      <c r="D90" s="2" t="s">
        <v>27</v>
      </c>
      <c r="E90" s="2" t="s">
        <v>27</v>
      </c>
      <c r="G90" s="4">
        <v>50</v>
      </c>
      <c r="Q90" s="4">
        <v>100</v>
      </c>
      <c r="T90" s="4">
        <f t="shared" si="6"/>
        <v>150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-550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 hidden="1">
      <c r="A91" s="4" t="s">
        <v>185</v>
      </c>
      <c r="B91" s="4" t="s">
        <v>169</v>
      </c>
      <c r="C91" s="2" t="s">
        <v>53</v>
      </c>
      <c r="D91" s="2" t="s">
        <v>27</v>
      </c>
      <c r="E91" s="2" t="s">
        <v>27</v>
      </c>
      <c r="G91" s="4">
        <v>50</v>
      </c>
      <c r="Q91" s="4">
        <v>200</v>
      </c>
      <c r="T91" s="4">
        <f t="shared" si="6"/>
        <v>250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-450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 hidden="1">
      <c r="A92" s="117" t="s">
        <v>186</v>
      </c>
      <c r="B92" s="4" t="s">
        <v>127</v>
      </c>
      <c r="C92" s="2" t="s">
        <v>187</v>
      </c>
      <c r="D92" s="2" t="s">
        <v>27</v>
      </c>
      <c r="E92" s="2" t="s">
        <v>27</v>
      </c>
      <c r="G92" s="4">
        <v>50</v>
      </c>
      <c r="K92" s="4">
        <v>100</v>
      </c>
      <c r="L92" s="4">
        <v>100</v>
      </c>
      <c r="T92" s="4">
        <f t="shared" si="6"/>
        <v>250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-450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 hidden="1">
      <c r="A93" s="117" t="s">
        <v>110</v>
      </c>
      <c r="B93" s="4" t="s">
        <v>59</v>
      </c>
      <c r="C93" s="2" t="s">
        <v>187</v>
      </c>
      <c r="D93" s="2" t="s">
        <v>27</v>
      </c>
      <c r="E93" s="2" t="s">
        <v>27</v>
      </c>
      <c r="G93" s="4">
        <v>50</v>
      </c>
      <c r="K93" s="4">
        <v>100</v>
      </c>
      <c r="L93" s="4">
        <v>100</v>
      </c>
      <c r="T93" s="4">
        <f t="shared" si="6"/>
        <v>250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-450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 hidden="1">
      <c r="A94" s="117" t="s">
        <v>188</v>
      </c>
      <c r="B94" s="4" t="s">
        <v>80</v>
      </c>
      <c r="C94" s="2" t="s">
        <v>187</v>
      </c>
      <c r="D94" s="2" t="s">
        <v>27</v>
      </c>
      <c r="E94" s="2" t="s">
        <v>27</v>
      </c>
      <c r="G94" s="4">
        <v>50</v>
      </c>
      <c r="K94" s="4">
        <v>100</v>
      </c>
      <c r="L94" s="4">
        <v>100</v>
      </c>
      <c r="T94" s="4">
        <f t="shared" si="6"/>
        <v>250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-450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 hidden="1">
      <c r="A95" s="117" t="s">
        <v>189</v>
      </c>
      <c r="B95" s="4" t="s">
        <v>42</v>
      </c>
      <c r="C95" s="2" t="s">
        <v>187</v>
      </c>
      <c r="D95" s="2" t="s">
        <v>27</v>
      </c>
      <c r="E95" s="2" t="s">
        <v>27</v>
      </c>
      <c r="G95" s="4">
        <v>50</v>
      </c>
      <c r="K95" s="4">
        <v>100</v>
      </c>
      <c r="L95" s="4">
        <v>100</v>
      </c>
      <c r="T95" s="4">
        <f t="shared" si="6"/>
        <v>250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-450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 hidden="1">
      <c r="A96" s="117" t="s">
        <v>190</v>
      </c>
      <c r="B96" s="4" t="s">
        <v>95</v>
      </c>
      <c r="C96" s="2" t="s">
        <v>187</v>
      </c>
      <c r="D96" s="2" t="s">
        <v>27</v>
      </c>
      <c r="E96" s="2" t="s">
        <v>27</v>
      </c>
      <c r="G96" s="4">
        <v>50</v>
      </c>
      <c r="K96" s="4">
        <v>100</v>
      </c>
      <c r="L96" s="4">
        <v>100</v>
      </c>
      <c r="T96" s="4">
        <f t="shared" si="6"/>
        <v>250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-450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 hidden="1">
      <c r="A97" s="117" t="s">
        <v>153</v>
      </c>
      <c r="B97" s="4" t="s">
        <v>191</v>
      </c>
      <c r="C97" s="2" t="s">
        <v>187</v>
      </c>
      <c r="D97" s="2" t="s">
        <v>27</v>
      </c>
      <c r="E97" s="2" t="s">
        <v>27</v>
      </c>
      <c r="G97" s="4">
        <v>50</v>
      </c>
      <c r="K97" s="4">
        <v>100</v>
      </c>
      <c r="L97" s="4">
        <v>100</v>
      </c>
      <c r="T97" s="4">
        <f t="shared" si="6"/>
        <v>250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-450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 hidden="1">
      <c r="A98" s="117" t="s">
        <v>192</v>
      </c>
      <c r="B98" s="4" t="s">
        <v>39</v>
      </c>
      <c r="C98" s="2" t="s">
        <v>187</v>
      </c>
      <c r="D98" s="2" t="s">
        <v>27</v>
      </c>
      <c r="E98" s="2" t="s">
        <v>27</v>
      </c>
      <c r="G98" s="4">
        <v>50</v>
      </c>
      <c r="K98" s="4">
        <v>100</v>
      </c>
      <c r="L98" s="4">
        <v>100</v>
      </c>
      <c r="T98" s="4">
        <f t="shared" si="6"/>
        <v>250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-450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 hidden="1">
      <c r="A99" s="117" t="s">
        <v>193</v>
      </c>
      <c r="B99" s="4" t="s">
        <v>194</v>
      </c>
      <c r="C99" s="2" t="s">
        <v>187</v>
      </c>
      <c r="D99" s="2" t="s">
        <v>27</v>
      </c>
      <c r="E99" s="2" t="s">
        <v>27</v>
      </c>
      <c r="G99" s="4">
        <v>50</v>
      </c>
      <c r="K99" s="4">
        <v>100</v>
      </c>
      <c r="L99" s="4">
        <v>100</v>
      </c>
      <c r="T99" s="4">
        <f t="shared" si="6"/>
        <v>250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-450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 hidden="1">
      <c r="A100" s="117" t="s">
        <v>195</v>
      </c>
      <c r="B100" s="4" t="s">
        <v>196</v>
      </c>
      <c r="C100" s="2" t="s">
        <v>187</v>
      </c>
      <c r="D100" s="2" t="s">
        <v>27</v>
      </c>
      <c r="E100" s="2" t="s">
        <v>27</v>
      </c>
      <c r="G100" s="4">
        <v>50</v>
      </c>
      <c r="K100" s="4">
        <v>100</v>
      </c>
      <c r="L100" s="4">
        <v>100</v>
      </c>
      <c r="T100" s="4">
        <f t="shared" si="6"/>
        <v>250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-450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 hidden="1">
      <c r="A101" s="117" t="s">
        <v>197</v>
      </c>
      <c r="B101" s="4" t="s">
        <v>198</v>
      </c>
      <c r="C101" s="2" t="s">
        <v>187</v>
      </c>
      <c r="D101" s="2" t="s">
        <v>27</v>
      </c>
      <c r="E101" s="2" t="s">
        <v>27</v>
      </c>
      <c r="G101" s="4">
        <v>50</v>
      </c>
      <c r="K101" s="4">
        <v>100</v>
      </c>
      <c r="L101" s="4">
        <v>100</v>
      </c>
      <c r="T101" s="4">
        <f t="shared" si="6"/>
        <v>250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-450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 hidden="1">
      <c r="A102" s="117" t="s">
        <v>199</v>
      </c>
      <c r="B102" s="4" t="s">
        <v>57</v>
      </c>
      <c r="C102" s="2" t="s">
        <v>187</v>
      </c>
      <c r="D102" s="2" t="s">
        <v>27</v>
      </c>
      <c r="E102" s="2" t="s">
        <v>27</v>
      </c>
      <c r="G102" s="4">
        <v>50</v>
      </c>
      <c r="K102" s="4">
        <v>100</v>
      </c>
      <c r="L102" s="4">
        <v>100</v>
      </c>
      <c r="T102" s="4">
        <f t="shared" si="6"/>
        <v>250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-450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 hidden="1">
      <c r="A103" s="117" t="s">
        <v>200</v>
      </c>
      <c r="B103" s="4" t="s">
        <v>201</v>
      </c>
      <c r="C103" s="2" t="s">
        <v>187</v>
      </c>
      <c r="D103" s="2" t="s">
        <v>27</v>
      </c>
      <c r="E103" s="2" t="s">
        <v>27</v>
      </c>
      <c r="G103" s="4">
        <v>50</v>
      </c>
      <c r="K103" s="4">
        <v>100</v>
      </c>
      <c r="L103" s="4">
        <v>100</v>
      </c>
      <c r="T103" s="4">
        <f t="shared" si="6"/>
        <v>250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-450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 hidden="1">
      <c r="A104" s="117" t="s">
        <v>202</v>
      </c>
      <c r="B104" s="4" t="s">
        <v>203</v>
      </c>
      <c r="C104" s="2" t="s">
        <v>187</v>
      </c>
      <c r="D104" s="2" t="s">
        <v>27</v>
      </c>
      <c r="E104" s="2" t="s">
        <v>33</v>
      </c>
      <c r="G104" s="4">
        <v>50</v>
      </c>
      <c r="K104" s="4">
        <v>100</v>
      </c>
      <c r="L104" s="4">
        <v>100</v>
      </c>
      <c r="M104" s="4">
        <v>100</v>
      </c>
      <c r="T104" s="4">
        <f t="shared" si="6"/>
        <v>350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-80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 hidden="1">
      <c r="A105" s="117" t="s">
        <v>204</v>
      </c>
      <c r="B105" s="4" t="s">
        <v>205</v>
      </c>
      <c r="C105" s="2" t="s">
        <v>187</v>
      </c>
      <c r="D105" s="2" t="s">
        <v>27</v>
      </c>
      <c r="E105" s="2" t="s">
        <v>27</v>
      </c>
      <c r="G105" s="4">
        <v>50</v>
      </c>
      <c r="K105" s="4">
        <v>100</v>
      </c>
      <c r="L105" s="4">
        <v>100</v>
      </c>
      <c r="T105" s="4">
        <f t="shared" si="6"/>
        <v>250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-450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 hidden="1">
      <c r="A106" s="117" t="s">
        <v>206</v>
      </c>
      <c r="B106" s="4" t="s">
        <v>207</v>
      </c>
      <c r="C106" s="2" t="s">
        <v>187</v>
      </c>
      <c r="D106" s="2" t="s">
        <v>27</v>
      </c>
      <c r="E106" s="2" t="s">
        <v>33</v>
      </c>
      <c r="G106" s="4">
        <v>50</v>
      </c>
      <c r="K106" s="4">
        <v>100</v>
      </c>
      <c r="L106" s="4">
        <v>100</v>
      </c>
      <c r="T106" s="4">
        <f t="shared" si="6"/>
        <v>250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-180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 hidden="1">
      <c r="A107" s="117" t="s">
        <v>208</v>
      </c>
      <c r="B107" s="4" t="s">
        <v>31</v>
      </c>
      <c r="C107" s="2" t="s">
        <v>187</v>
      </c>
      <c r="D107" s="2" t="s">
        <v>27</v>
      </c>
      <c r="E107" s="2" t="s">
        <v>27</v>
      </c>
      <c r="G107" s="4">
        <v>50</v>
      </c>
      <c r="K107" s="4">
        <v>100</v>
      </c>
      <c r="L107" s="4">
        <v>100</v>
      </c>
      <c r="T107" s="4">
        <f t="shared" si="6"/>
        <v>250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-450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 hidden="1">
      <c r="A108" s="117" t="s">
        <v>209</v>
      </c>
      <c r="B108" s="4" t="s">
        <v>73</v>
      </c>
      <c r="C108" s="2" t="s">
        <v>187</v>
      </c>
      <c r="D108" s="2" t="s">
        <v>27</v>
      </c>
      <c r="E108" s="2" t="s">
        <v>27</v>
      </c>
      <c r="G108" s="4">
        <v>50</v>
      </c>
      <c r="K108" s="4">
        <v>100</v>
      </c>
      <c r="L108" s="4">
        <v>100</v>
      </c>
      <c r="T108" s="4">
        <f t="shared" si="6"/>
        <v>250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-450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 hidden="1">
      <c r="A109" s="117" t="s">
        <v>210</v>
      </c>
      <c r="B109" s="4" t="s">
        <v>211</v>
      </c>
      <c r="C109" s="2" t="s">
        <v>187</v>
      </c>
      <c r="D109" s="2" t="s">
        <v>27</v>
      </c>
      <c r="E109" s="2" t="s">
        <v>27</v>
      </c>
      <c r="G109" s="4">
        <v>50</v>
      </c>
      <c r="K109" s="4">
        <v>100</v>
      </c>
      <c r="L109" s="4">
        <v>100</v>
      </c>
      <c r="T109" s="4">
        <f t="shared" si="6"/>
        <v>250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-450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 hidden="1">
      <c r="A110" s="117" t="s">
        <v>212</v>
      </c>
      <c r="B110" s="4" t="s">
        <v>213</v>
      </c>
      <c r="C110" s="2" t="s">
        <v>187</v>
      </c>
      <c r="D110" s="2" t="s">
        <v>27</v>
      </c>
      <c r="E110" s="2" t="s">
        <v>33</v>
      </c>
      <c r="G110" s="4">
        <v>50</v>
      </c>
      <c r="K110" s="4">
        <v>100</v>
      </c>
      <c r="L110" s="4">
        <v>100</v>
      </c>
      <c r="T110" s="4">
        <f t="shared" si="6"/>
        <v>250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-180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 hidden="1">
      <c r="A111" s="4" t="s">
        <v>214</v>
      </c>
      <c r="B111" s="4" t="s">
        <v>215</v>
      </c>
      <c r="C111" s="2" t="s">
        <v>53</v>
      </c>
      <c r="D111" s="2" t="s">
        <v>27</v>
      </c>
      <c r="E111" s="2" t="s">
        <v>27</v>
      </c>
      <c r="G111" s="4">
        <v>50</v>
      </c>
      <c r="Q111" s="4">
        <v>100</v>
      </c>
      <c r="T111" s="4">
        <f t="shared" si="6"/>
        <v>150</v>
      </c>
      <c r="U111" s="36">
        <f>IF(Table2[[#This Row],[Nazwisko]]="","",IF(AND(D111="Nie",E111="Nie"),0,IF(AND(D111="Tak",E111="Nie"),Podsumowanie!$B$19,Podsumowanie!$C$19)))</f>
        <v>700</v>
      </c>
      <c r="V111" s="4">
        <f t="shared" si="4"/>
        <v>-550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 hidden="1">
      <c r="A112" s="117" t="s">
        <v>216</v>
      </c>
      <c r="B112" s="4" t="s">
        <v>63</v>
      </c>
      <c r="C112" s="2" t="s">
        <v>187</v>
      </c>
      <c r="D112" s="2" t="s">
        <v>27</v>
      </c>
      <c r="E112" s="2" t="s">
        <v>33</v>
      </c>
      <c r="G112" s="4">
        <v>50</v>
      </c>
      <c r="K112" s="4">
        <v>100</v>
      </c>
      <c r="L112" s="4">
        <v>100</v>
      </c>
      <c r="T112" s="4">
        <f t="shared" si="6"/>
        <v>250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-180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 hidden="1">
      <c r="A113" s="117" t="s">
        <v>217</v>
      </c>
      <c r="B113" s="4" t="s">
        <v>218</v>
      </c>
      <c r="C113" s="2" t="s">
        <v>187</v>
      </c>
      <c r="D113" s="2" t="s">
        <v>27</v>
      </c>
      <c r="E113" s="2" t="s">
        <v>33</v>
      </c>
      <c r="G113" s="4">
        <v>50</v>
      </c>
      <c r="K113" s="4">
        <v>100</v>
      </c>
      <c r="L113" s="4">
        <v>100</v>
      </c>
      <c r="T113" s="4">
        <f t="shared" si="6"/>
        <v>250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-180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 hidden="1">
      <c r="A114" s="117" t="s">
        <v>179</v>
      </c>
      <c r="B114" s="4" t="s">
        <v>135</v>
      </c>
      <c r="C114" s="2" t="s">
        <v>187</v>
      </c>
      <c r="D114" s="2" t="s">
        <v>27</v>
      </c>
      <c r="E114" s="2" t="s">
        <v>27</v>
      </c>
      <c r="G114" s="4">
        <v>50</v>
      </c>
      <c r="K114" s="4">
        <v>100</v>
      </c>
      <c r="L114" s="4">
        <v>100</v>
      </c>
      <c r="T114" s="4">
        <f t="shared" si="6"/>
        <v>250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-450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>
      <c r="A115" s="4" t="s">
        <v>219</v>
      </c>
      <c r="B115" s="4" t="s">
        <v>220</v>
      </c>
      <c r="C115" s="2" t="s">
        <v>32</v>
      </c>
      <c r="D115" s="2" t="s">
        <v>27</v>
      </c>
      <c r="E115" s="2" t="s">
        <v>27</v>
      </c>
      <c r="G115" s="4">
        <v>50</v>
      </c>
      <c r="Q115" s="4">
        <v>200</v>
      </c>
      <c r="T115" s="4">
        <f t="shared" si="6"/>
        <v>250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-450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 hidden="1">
      <c r="A116" s="4" t="s">
        <v>221</v>
      </c>
      <c r="B116" s="4" t="s">
        <v>222</v>
      </c>
      <c r="C116" s="2" t="s">
        <v>87</v>
      </c>
      <c r="D116" s="2" t="s">
        <v>27</v>
      </c>
      <c r="E116" s="2" t="s">
        <v>33</v>
      </c>
      <c r="G116" s="4">
        <v>50</v>
      </c>
      <c r="P116" s="4">
        <v>100</v>
      </c>
      <c r="T116" s="4">
        <f t="shared" si="6"/>
        <v>150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-280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 hidden="1">
      <c r="A117" s="4" t="s">
        <v>223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P117" s="4">
        <v>100</v>
      </c>
      <c r="T117" s="4">
        <f t="shared" si="6"/>
        <v>150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-280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 hidden="1">
      <c r="A118" s="4" t="s">
        <v>224</v>
      </c>
      <c r="B118" s="4" t="s">
        <v>225</v>
      </c>
      <c r="C118" s="2" t="s">
        <v>87</v>
      </c>
      <c r="D118" s="2" t="s">
        <v>27</v>
      </c>
      <c r="E118" s="2" t="s">
        <v>27</v>
      </c>
      <c r="G118" s="4">
        <v>50</v>
      </c>
      <c r="P118" s="4">
        <v>100</v>
      </c>
      <c r="T118" s="4">
        <f t="shared" si="6"/>
        <v>150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-550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 hidden="1">
      <c r="A119" s="4" t="s">
        <v>226</v>
      </c>
      <c r="B119" s="4" t="s">
        <v>227</v>
      </c>
      <c r="C119" s="2" t="s">
        <v>87</v>
      </c>
      <c r="D119" s="2" t="s">
        <v>27</v>
      </c>
      <c r="E119" s="2" t="s">
        <v>27</v>
      </c>
      <c r="G119" s="4">
        <v>50</v>
      </c>
      <c r="P119" s="4">
        <v>100</v>
      </c>
      <c r="T119" s="4">
        <f t="shared" si="6"/>
        <v>150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-550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>
      <c r="A120" s="4" t="s">
        <v>228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Q120" s="4">
        <v>650</v>
      </c>
      <c r="T120" s="4">
        <f t="shared" si="6"/>
        <v>700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0</v>
      </c>
      <c r="W120" s="55" t="str">
        <f t="shared" si="5"/>
        <v/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 hidden="1">
      <c r="A121" s="4" t="s">
        <v>229</v>
      </c>
      <c r="B121" s="4" t="s">
        <v>205</v>
      </c>
      <c r="C121" s="2" t="s">
        <v>113</v>
      </c>
      <c r="D121" s="2" t="s">
        <v>27</v>
      </c>
      <c r="E121" s="2" t="s">
        <v>27</v>
      </c>
      <c r="F121" s="2" t="s">
        <v>230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700</v>
      </c>
      <c r="V121" s="4">
        <f t="shared" si="4"/>
        <v>-650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>
      <c r="A122" s="4" t="s">
        <v>231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Q122" s="4">
        <v>650</v>
      </c>
      <c r="T122" s="4">
        <f t="shared" si="6"/>
        <v>700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0</v>
      </c>
      <c r="W122" s="55" t="str">
        <f t="shared" si="5"/>
        <v/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>
      <c r="A123" s="4" t="s">
        <v>148</v>
      </c>
      <c r="B123" s="4" t="s">
        <v>46</v>
      </c>
      <c r="C123" s="2" t="s">
        <v>32</v>
      </c>
      <c r="D123" s="2" t="s">
        <v>27</v>
      </c>
      <c r="E123" s="2" t="s">
        <v>33</v>
      </c>
      <c r="F123" s="2" t="s">
        <v>232</v>
      </c>
      <c r="G123" s="4">
        <v>50</v>
      </c>
      <c r="Q123" s="4">
        <v>200</v>
      </c>
      <c r="T123" s="4">
        <f t="shared" si="6"/>
        <v>250</v>
      </c>
      <c r="U123" s="36">
        <f>IF(Table2[[#This Row],[Nazwisko]]="","",IF(AND(D123="Nie",E123="Nie"),0,IF(AND(D123="Tak",E123="Nie"),Podsumowanie!$B$19,Podsumowanie!$C$19)))</f>
        <v>430</v>
      </c>
      <c r="V123" s="4">
        <f t="shared" si="4"/>
        <v>-180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>
      <c r="A124" s="4" t="s">
        <v>233</v>
      </c>
      <c r="B124" s="4" t="s">
        <v>59</v>
      </c>
      <c r="C124" s="2" t="s">
        <v>32</v>
      </c>
      <c r="D124" s="2" t="s">
        <v>27</v>
      </c>
      <c r="E124" s="2" t="s">
        <v>33</v>
      </c>
      <c r="F124" s="2" t="s">
        <v>232</v>
      </c>
      <c r="G124" s="4">
        <v>50</v>
      </c>
      <c r="Q124" s="4">
        <v>200</v>
      </c>
      <c r="T124" s="4">
        <f t="shared" si="6"/>
        <v>250</v>
      </c>
      <c r="U124" s="36">
        <f>IF(Table2[[#This Row],[Nazwisko]]="","",IF(AND(D124="Nie",E124="Nie"),0,IF(AND(D124="Tak",E124="Nie"),Podsumowanie!$B$19,Podsumowanie!$C$19)))</f>
        <v>430</v>
      </c>
      <c r="V124" s="4">
        <f t="shared" si="4"/>
        <v>-180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>
      <c r="A125" s="4" t="s">
        <v>234</v>
      </c>
      <c r="B125" s="4" t="s">
        <v>131</v>
      </c>
      <c r="C125" s="2" t="s">
        <v>32</v>
      </c>
      <c r="D125" s="2" t="s">
        <v>27</v>
      </c>
      <c r="E125" s="2" t="s">
        <v>33</v>
      </c>
      <c r="G125" s="4">
        <v>50</v>
      </c>
      <c r="Q125" s="4">
        <v>200</v>
      </c>
      <c r="T125" s="4">
        <f t="shared" si="6"/>
        <v>250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-180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>
      <c r="A126" s="4" t="s">
        <v>235</v>
      </c>
      <c r="B126" s="4" t="s">
        <v>177</v>
      </c>
      <c r="C126" s="2" t="s">
        <v>32</v>
      </c>
      <c r="D126" s="2" t="s">
        <v>27</v>
      </c>
      <c r="E126" s="2" t="s">
        <v>33</v>
      </c>
      <c r="F126" s="2" t="s">
        <v>232</v>
      </c>
      <c r="G126" s="4">
        <v>50</v>
      </c>
      <c r="Q126" s="4">
        <v>200</v>
      </c>
      <c r="T126" s="4">
        <f t="shared" si="6"/>
        <v>250</v>
      </c>
      <c r="U126" s="36">
        <f>IF(Table2[[#This Row],[Nazwisko]]="","",IF(AND(D126="Nie",E126="Nie"),0,IF(AND(D126="Tak",E126="Nie"),Podsumowanie!$B$19,Podsumowanie!$C$19)))</f>
        <v>430</v>
      </c>
      <c r="V126" s="4">
        <f t="shared" si="4"/>
        <v>-180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 hidden="1">
      <c r="A127" s="117" t="s">
        <v>236</v>
      </c>
      <c r="B127" s="4" t="s">
        <v>191</v>
      </c>
      <c r="C127" s="2" t="s">
        <v>187</v>
      </c>
      <c r="D127" s="2" t="s">
        <v>27</v>
      </c>
      <c r="E127" s="2" t="s">
        <v>27</v>
      </c>
      <c r="G127" s="4">
        <v>50</v>
      </c>
      <c r="K127" s="4">
        <v>100</v>
      </c>
      <c r="L127" s="4">
        <v>100</v>
      </c>
      <c r="T127" s="4">
        <f t="shared" si="6"/>
        <v>250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-450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 hidden="1">
      <c r="A128" s="4" t="s">
        <v>237</v>
      </c>
      <c r="B128" s="4" t="s">
        <v>83</v>
      </c>
      <c r="C128" s="2" t="s">
        <v>178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 hidden="1">
      <c r="A129" s="117" t="s">
        <v>238</v>
      </c>
      <c r="B129" s="4" t="s">
        <v>63</v>
      </c>
      <c r="C129" s="2" t="s">
        <v>187</v>
      </c>
      <c r="D129" s="2" t="s">
        <v>27</v>
      </c>
      <c r="E129" s="2" t="s">
        <v>27</v>
      </c>
      <c r="G129" s="4">
        <v>50</v>
      </c>
      <c r="K129" s="4">
        <v>100</v>
      </c>
      <c r="L129" s="4">
        <v>100</v>
      </c>
      <c r="T129" s="4">
        <f t="shared" si="6"/>
        <v>250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-450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 hidden="1">
      <c r="A130" s="117" t="s">
        <v>239</v>
      </c>
      <c r="B130" s="4" t="s">
        <v>73</v>
      </c>
      <c r="C130" s="2" t="s">
        <v>187</v>
      </c>
      <c r="D130" s="2" t="s">
        <v>27</v>
      </c>
      <c r="E130" s="2" t="s">
        <v>27</v>
      </c>
      <c r="G130" s="4">
        <v>50</v>
      </c>
      <c r="K130" s="4">
        <v>100</v>
      </c>
      <c r="L130" s="4">
        <v>100</v>
      </c>
      <c r="M130" s="4">
        <v>100</v>
      </c>
      <c r="T130" s="4">
        <f t="shared" si="6"/>
        <v>350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-350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 hidden="1">
      <c r="A131" s="117" t="s">
        <v>34</v>
      </c>
      <c r="B131" s="4" t="s">
        <v>73</v>
      </c>
      <c r="C131" s="2" t="s">
        <v>187</v>
      </c>
      <c r="D131" s="2" t="s">
        <v>27</v>
      </c>
      <c r="E131" s="2" t="s">
        <v>33</v>
      </c>
      <c r="G131" s="4">
        <v>50</v>
      </c>
      <c r="K131" s="4">
        <v>100</v>
      </c>
      <c r="L131" s="4">
        <v>100</v>
      </c>
      <c r="T131" s="4">
        <f t="shared" si="6"/>
        <v>250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-180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 hidden="1">
      <c r="A132" s="4" t="s">
        <v>240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P132" s="4">
        <v>100</v>
      </c>
      <c r="T132" s="4">
        <f t="shared" ref="T132:T165" si="9">SUM(G132:S132)</f>
        <v>150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-280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 hidden="1">
      <c r="A133" s="4" t="s">
        <v>241</v>
      </c>
      <c r="B133" s="4" t="s">
        <v>37</v>
      </c>
      <c r="C133" s="2" t="s">
        <v>178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 hidden="1">
      <c r="A134" s="4" t="s">
        <v>242</v>
      </c>
      <c r="B134" s="4" t="s">
        <v>243</v>
      </c>
      <c r="C134" s="2" t="s">
        <v>178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 hidden="1">
      <c r="A135" s="4" t="s">
        <v>244</v>
      </c>
      <c r="B135" s="4" t="s">
        <v>46</v>
      </c>
      <c r="C135" s="2" t="s">
        <v>178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 hidden="1">
      <c r="A136" s="4" t="s">
        <v>245</v>
      </c>
      <c r="B136" s="4" t="s">
        <v>29</v>
      </c>
      <c r="C136" s="2" t="s">
        <v>178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 hidden="1">
      <c r="A137" s="4" t="s">
        <v>173</v>
      </c>
      <c r="B137" s="4" t="s">
        <v>65</v>
      </c>
      <c r="C137" s="2" t="s">
        <v>178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 hidden="1">
      <c r="A138" s="4" t="s">
        <v>246</v>
      </c>
      <c r="B138" s="4" t="s">
        <v>247</v>
      </c>
      <c r="C138" s="2" t="s">
        <v>178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 hidden="1">
      <c r="A139" s="4" t="s">
        <v>248</v>
      </c>
      <c r="B139" s="4" t="s">
        <v>63</v>
      </c>
      <c r="C139" s="2" t="s">
        <v>178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 hidden="1">
      <c r="A140" s="4" t="s">
        <v>249</v>
      </c>
      <c r="B140" s="4" t="s">
        <v>59</v>
      </c>
      <c r="C140" s="2" t="s">
        <v>178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 hidden="1">
      <c r="A141" s="4" t="s">
        <v>250</v>
      </c>
      <c r="B141" s="4" t="s">
        <v>78</v>
      </c>
      <c r="C141" s="2" t="s">
        <v>178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 hidden="1">
      <c r="A142" s="4" t="s">
        <v>251</v>
      </c>
      <c r="B142" s="4" t="s">
        <v>73</v>
      </c>
      <c r="C142" s="2" t="s">
        <v>178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 hidden="1">
      <c r="A143" s="4" t="s">
        <v>252</v>
      </c>
      <c r="B143" s="4" t="s">
        <v>35</v>
      </c>
      <c r="C143" s="2" t="s">
        <v>178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>
      <c r="A144" s="4" t="s">
        <v>253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Q144" s="4">
        <v>200</v>
      </c>
      <c r="T144" s="4">
        <f t="shared" si="9"/>
        <v>250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-450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 hidden="1">
      <c r="A145" s="4" t="s">
        <v>254</v>
      </c>
      <c r="B145" s="4" t="s">
        <v>73</v>
      </c>
      <c r="C145" s="2" t="s">
        <v>178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 hidden="1">
      <c r="A146" s="4" t="s">
        <v>255</v>
      </c>
      <c r="B146" s="4" t="s">
        <v>256</v>
      </c>
      <c r="C146" s="2" t="s">
        <v>178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 hidden="1">
      <c r="A147" s="4" t="s">
        <v>257</v>
      </c>
      <c r="B147" s="4" t="s">
        <v>73</v>
      </c>
      <c r="C147" s="2" t="s">
        <v>178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 hidden="1">
      <c r="A148" s="4" t="s">
        <v>258</v>
      </c>
      <c r="B148" s="4" t="s">
        <v>35</v>
      </c>
      <c r="C148" s="2" t="s">
        <v>178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 hidden="1">
      <c r="A149" s="117" t="s">
        <v>72</v>
      </c>
      <c r="B149" s="4" t="s">
        <v>172</v>
      </c>
      <c r="C149" s="2" t="s">
        <v>187</v>
      </c>
      <c r="D149" s="2" t="s">
        <v>27</v>
      </c>
      <c r="E149" s="2" t="s">
        <v>33</v>
      </c>
      <c r="G149" s="4">
        <v>50</v>
      </c>
      <c r="K149" s="4">
        <v>100</v>
      </c>
      <c r="L149" s="4">
        <v>100</v>
      </c>
      <c r="T149" s="4">
        <f t="shared" si="9"/>
        <v>250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-180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>
      <c r="A150" s="4" t="s">
        <v>259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Q150" s="4">
        <v>200</v>
      </c>
      <c r="T150" s="4">
        <f t="shared" si="9"/>
        <v>250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-180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 hidden="1">
      <c r="A151" s="4" t="s">
        <v>260</v>
      </c>
      <c r="B151" s="4" t="s">
        <v>261</v>
      </c>
      <c r="C151" s="2" t="s">
        <v>178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 hidden="1">
      <c r="A152" s="4" t="s">
        <v>86</v>
      </c>
      <c r="B152" s="4" t="s">
        <v>262</v>
      </c>
      <c r="C152" s="2" t="s">
        <v>87</v>
      </c>
      <c r="D152" s="2" t="s">
        <v>27</v>
      </c>
      <c r="E152" s="2" t="s">
        <v>33</v>
      </c>
      <c r="G152" s="4">
        <v>50</v>
      </c>
      <c r="P152" s="4">
        <v>100</v>
      </c>
      <c r="T152" s="4">
        <f t="shared" si="9"/>
        <v>150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-280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 hidden="1">
      <c r="A153" s="4" t="s">
        <v>159</v>
      </c>
      <c r="B153" s="4" t="s">
        <v>263</v>
      </c>
      <c r="C153" s="2" t="s">
        <v>53</v>
      </c>
      <c r="D153" s="2" t="s">
        <v>27</v>
      </c>
      <c r="E153" s="2" t="s">
        <v>33</v>
      </c>
      <c r="G153" s="4">
        <v>50</v>
      </c>
      <c r="Q153" s="4">
        <v>100</v>
      </c>
      <c r="T153" s="4">
        <f t="shared" si="9"/>
        <v>150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-280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 hidden="1">
      <c r="A154" s="4" t="s">
        <v>264</v>
      </c>
      <c r="B154" s="4" t="s">
        <v>265</v>
      </c>
      <c r="C154" s="2" t="s">
        <v>178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>
      <c r="A155" s="4" t="s">
        <v>266</v>
      </c>
      <c r="B155" s="4" t="s">
        <v>172</v>
      </c>
      <c r="C155" s="2" t="s">
        <v>32</v>
      </c>
      <c r="D155" s="2" t="s">
        <v>27</v>
      </c>
      <c r="E155" s="2" t="s">
        <v>27</v>
      </c>
      <c r="G155" s="4">
        <v>50</v>
      </c>
      <c r="Q155" s="4">
        <v>200</v>
      </c>
      <c r="T155" s="4">
        <f t="shared" si="9"/>
        <v>250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-450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 hidden="1">
      <c r="A156" s="117" t="s">
        <v>267</v>
      </c>
      <c r="B156" s="4" t="s">
        <v>160</v>
      </c>
      <c r="C156" s="2" t="s">
        <v>187</v>
      </c>
      <c r="D156" s="2" t="s">
        <v>27</v>
      </c>
      <c r="E156" s="2" t="s">
        <v>33</v>
      </c>
      <c r="G156" s="4">
        <v>50</v>
      </c>
      <c r="K156" s="4">
        <v>100</v>
      </c>
      <c r="L156" s="4">
        <v>100</v>
      </c>
      <c r="T156" s="4">
        <f t="shared" si="9"/>
        <v>250</v>
      </c>
      <c r="U156" s="36">
        <f>IF(Table2[[#This Row],[Nazwisko]]="","",IF(AND(D156="Nie",E156="Nie"),0,IF(AND(D156="Tak",E156="Nie"),Podsumowanie!$B$19,Podsumowanie!$C$19)))</f>
        <v>430</v>
      </c>
      <c r="V156" s="4">
        <f t="shared" si="7"/>
        <v>-180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 hidden="1">
      <c r="A157" s="4" t="s">
        <v>268</v>
      </c>
      <c r="B157" s="4" t="s">
        <v>67</v>
      </c>
      <c r="C157" s="2" t="s">
        <v>178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 hidden="1">
      <c r="A158" s="4" t="s">
        <v>269</v>
      </c>
      <c r="B158" s="4" t="s">
        <v>29</v>
      </c>
      <c r="C158" s="2" t="s">
        <v>178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 hidden="1">
      <c r="A159" s="4" t="s">
        <v>270</v>
      </c>
      <c r="B159" s="4" t="s">
        <v>271</v>
      </c>
      <c r="C159" s="2" t="s">
        <v>87</v>
      </c>
      <c r="D159" s="2" t="s">
        <v>27</v>
      </c>
      <c r="E159" s="2" t="s">
        <v>33</v>
      </c>
      <c r="G159" s="4">
        <v>50</v>
      </c>
      <c r="P159" s="4">
        <v>100</v>
      </c>
      <c r="T159" s="4">
        <f t="shared" si="9"/>
        <v>150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-280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 hidden="1">
      <c r="A160" s="4" t="s">
        <v>272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 hidden="1">
      <c r="A161" s="4" t="s">
        <v>153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 hidden="1">
      <c r="A162" s="4" t="s">
        <v>86</v>
      </c>
      <c r="B162" s="4" t="s">
        <v>225</v>
      </c>
      <c r="C162" s="2" t="s">
        <v>87</v>
      </c>
      <c r="D162" s="2" t="s">
        <v>27</v>
      </c>
      <c r="E162" s="2" t="s">
        <v>27</v>
      </c>
      <c r="G162" s="4">
        <v>50</v>
      </c>
      <c r="P162" s="4">
        <v>100</v>
      </c>
      <c r="T162" s="4">
        <f t="shared" si="9"/>
        <v>150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-550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 hidden="1">
      <c r="A163" s="4" t="s">
        <v>273</v>
      </c>
      <c r="B163" s="4" t="s">
        <v>73</v>
      </c>
      <c r="C163" s="2" t="s">
        <v>113</v>
      </c>
      <c r="D163" s="2" t="s">
        <v>27</v>
      </c>
      <c r="E163" s="2" t="s">
        <v>33</v>
      </c>
      <c r="F163" s="2" t="s">
        <v>117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430</v>
      </c>
      <c r="V163" s="4">
        <f t="shared" si="7"/>
        <v>-380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 hidden="1">
      <c r="A164" s="4" t="s">
        <v>274</v>
      </c>
      <c r="B164" s="4" t="s">
        <v>44</v>
      </c>
      <c r="C164" s="2" t="s">
        <v>113</v>
      </c>
      <c r="D164" s="2" t="s">
        <v>27</v>
      </c>
      <c r="E164" s="2" t="s">
        <v>27</v>
      </c>
      <c r="F164" s="2" t="s">
        <v>275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700</v>
      </c>
      <c r="V164" s="4">
        <f t="shared" si="7"/>
        <v>-650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 hidden="1">
      <c r="A165" s="4" t="s">
        <v>276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Q165" s="4">
        <v>200</v>
      </c>
      <c r="T165" s="4">
        <f t="shared" si="9"/>
        <v>250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-180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 hidden="1">
      <c r="A166" s="4" t="s">
        <v>277</v>
      </c>
      <c r="B166" s="4" t="s">
        <v>278</v>
      </c>
      <c r="C166" s="2" t="s">
        <v>53</v>
      </c>
      <c r="D166" s="2" t="s">
        <v>27</v>
      </c>
      <c r="E166" s="2" t="s">
        <v>27</v>
      </c>
      <c r="G166" s="4">
        <v>50</v>
      </c>
      <c r="Q166" s="4">
        <v>200</v>
      </c>
      <c r="T166" s="4">
        <f t="shared" ref="T166:T184" si="10">SUM(G166:S166)</f>
        <v>250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-450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 hidden="1">
      <c r="A167" s="4" t="s">
        <v>279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Q167" s="4">
        <v>100</v>
      </c>
      <c r="T167" s="4">
        <f t="shared" si="10"/>
        <v>150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-280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 hidden="1">
      <c r="A168" s="117" t="s">
        <v>280</v>
      </c>
      <c r="B168" s="4" t="s">
        <v>39</v>
      </c>
      <c r="C168" s="2" t="s">
        <v>187</v>
      </c>
      <c r="D168" s="2" t="s">
        <v>27</v>
      </c>
      <c r="E168" s="2" t="s">
        <v>27</v>
      </c>
      <c r="G168" s="4">
        <v>50</v>
      </c>
      <c r="K168" s="4">
        <v>100</v>
      </c>
      <c r="L168" s="4">
        <v>100</v>
      </c>
      <c r="T168" s="4">
        <f t="shared" si="10"/>
        <v>250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-450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 hidden="1">
      <c r="A169" s="111" t="s">
        <v>281</v>
      </c>
      <c r="B169" s="4" t="s">
        <v>63</v>
      </c>
      <c r="C169" s="2" t="s">
        <v>113</v>
      </c>
      <c r="D169" s="2" t="s">
        <v>33</v>
      </c>
      <c r="E169" s="2" t="s">
        <v>33</v>
      </c>
      <c r="F169" s="2" t="s">
        <v>122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0</v>
      </c>
      <c r="V169" s="4">
        <f t="shared" si="7"/>
        <v>50</v>
      </c>
      <c r="W169" s="55" t="str">
        <f t="shared" si="8"/>
        <v>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 hidden="1">
      <c r="A170" s="4" t="s">
        <v>282</v>
      </c>
      <c r="B170" s="4" t="s">
        <v>283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 hidden="1">
      <c r="A171" s="4" t="s">
        <v>284</v>
      </c>
      <c r="B171" s="4" t="s">
        <v>285</v>
      </c>
      <c r="C171" s="2" t="s">
        <v>26</v>
      </c>
      <c r="D171" s="2" t="s">
        <v>27</v>
      </c>
      <c r="E171" s="2" t="s">
        <v>33</v>
      </c>
      <c r="F171" s="2" t="s">
        <v>286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430</v>
      </c>
      <c r="V171" s="4">
        <f t="shared" si="7"/>
        <v>-380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 hidden="1">
      <c r="A172" s="4" t="s">
        <v>287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 hidden="1">
      <c r="A173" s="4" t="s">
        <v>288</v>
      </c>
      <c r="B173" s="4" t="s">
        <v>289</v>
      </c>
      <c r="C173" s="2" t="s">
        <v>178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 hidden="1">
      <c r="A174" s="4" t="s">
        <v>290</v>
      </c>
      <c r="B174" s="4" t="s">
        <v>225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 hidden="1">
      <c r="A175" s="4" t="s">
        <v>291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P175" s="4">
        <v>100</v>
      </c>
      <c r="T175" s="4">
        <f t="shared" si="10"/>
        <v>150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-280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 hidden="1">
      <c r="A176" s="4" t="s">
        <v>292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 hidden="1">
      <c r="A177" s="4" t="s">
        <v>293</v>
      </c>
      <c r="B177" s="4" t="s">
        <v>294</v>
      </c>
      <c r="C177" s="2" t="s">
        <v>87</v>
      </c>
      <c r="D177" s="2" t="s">
        <v>27</v>
      </c>
      <c r="E177" s="2" t="s">
        <v>33</v>
      </c>
      <c r="G177" s="4">
        <v>50</v>
      </c>
      <c r="P177" s="4">
        <v>100</v>
      </c>
      <c r="T177" s="4">
        <f t="shared" si="10"/>
        <v>150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-280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 hidden="1">
      <c r="A178" s="4" t="s">
        <v>259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 hidden="1">
      <c r="A179" s="4" t="s">
        <v>295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 hidden="1">
      <c r="A180" s="4" t="s">
        <v>296</v>
      </c>
      <c r="B180" s="4" t="s">
        <v>297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 hidden="1">
      <c r="A181" s="4" t="s">
        <v>91</v>
      </c>
      <c r="B181" s="4" t="s">
        <v>298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 hidden="1">
      <c r="A182" s="4" t="s">
        <v>299</v>
      </c>
      <c r="B182" s="4" t="s">
        <v>46</v>
      </c>
      <c r="C182" s="2" t="s">
        <v>178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 hidden="1">
      <c r="A183" s="4" t="s">
        <v>300</v>
      </c>
      <c r="B183" s="4" t="s">
        <v>301</v>
      </c>
      <c r="C183" s="2" t="s">
        <v>178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 hidden="1">
      <c r="A184" s="4" t="s">
        <v>302</v>
      </c>
      <c r="B184" s="4" t="s">
        <v>35</v>
      </c>
      <c r="C184" s="2" t="s">
        <v>178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 hidden="1">
      <c r="A185" s="4" t="s">
        <v>303</v>
      </c>
      <c r="B185" s="4" t="s">
        <v>52</v>
      </c>
      <c r="C185" s="2" t="s">
        <v>178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 hidden="1">
      <c r="A186" s="4" t="s">
        <v>112</v>
      </c>
      <c r="B186" s="4" t="s">
        <v>304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 hidden="1">
      <c r="A187" s="4" t="s">
        <v>305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 hidden="1">
      <c r="A188" s="4" t="s">
        <v>306</v>
      </c>
      <c r="B188" s="4" t="s">
        <v>307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 hidden="1">
      <c r="A189" s="4" t="s">
        <v>308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 hidden="1">
      <c r="A190" s="4" t="s">
        <v>309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 hidden="1">
      <c r="A191" s="4" t="s">
        <v>310</v>
      </c>
      <c r="B191" s="4" t="s">
        <v>222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 hidden="1">
      <c r="A192" s="4" t="s">
        <v>311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Q192" s="4">
        <v>200</v>
      </c>
      <c r="T192" s="4">
        <f>SUM(G192:S192)</f>
        <v>250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-180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 hidden="1">
      <c r="A193" s="4" t="s">
        <v>312</v>
      </c>
      <c r="B193" s="4" t="s">
        <v>261</v>
      </c>
      <c r="C193" s="2" t="s">
        <v>178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 hidden="1">
      <c r="A194" s="4" t="s">
        <v>313</v>
      </c>
      <c r="B194" s="4" t="s">
        <v>314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 hidden="1">
      <c r="A195" s="4" t="s">
        <v>315</v>
      </c>
      <c r="B195" s="4" t="s">
        <v>316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 hidden="1">
      <c r="A196" s="4" t="s">
        <v>317</v>
      </c>
      <c r="B196" s="4" t="s">
        <v>73</v>
      </c>
      <c r="C196" s="2" t="s">
        <v>178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 hidden="1">
      <c r="A197" s="4" t="s">
        <v>318</v>
      </c>
      <c r="B197" s="4" t="s">
        <v>314</v>
      </c>
      <c r="C197" s="2" t="s">
        <v>178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 hidden="1">
      <c r="A198" s="4" t="s">
        <v>319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 hidden="1">
      <c r="A199" s="4" t="s">
        <v>320</v>
      </c>
      <c r="B199" s="4" t="s">
        <v>321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 hidden="1">
      <c r="A200" s="4" t="s">
        <v>322</v>
      </c>
      <c r="B200" s="4" t="s">
        <v>323</v>
      </c>
      <c r="C200" s="2" t="s">
        <v>178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 hidden="1">
      <c r="A201" s="4" t="s">
        <v>56</v>
      </c>
      <c r="B201" s="4" t="s">
        <v>78</v>
      </c>
      <c r="C201" s="2" t="s">
        <v>178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>
      <c r="A202" s="4" t="s">
        <v>324</v>
      </c>
      <c r="B202" s="4" t="s">
        <v>304</v>
      </c>
      <c r="C202" s="2" t="s">
        <v>32</v>
      </c>
      <c r="D202" s="2" t="s">
        <v>27</v>
      </c>
      <c r="E202" s="2" t="s">
        <v>33</v>
      </c>
      <c r="G202" s="4">
        <v>50</v>
      </c>
      <c r="Q202" s="4">
        <v>200</v>
      </c>
      <c r="T202" s="4">
        <f t="shared" ref="T202:T230" si="13">SUM(G202:S202)</f>
        <v>250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-180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>
      <c r="A203" s="4" t="s">
        <v>325</v>
      </c>
      <c r="B203" s="4" t="s">
        <v>314</v>
      </c>
      <c r="C203" s="2" t="s">
        <v>32</v>
      </c>
      <c r="D203" s="2" t="s">
        <v>27</v>
      </c>
      <c r="E203" s="2" t="s">
        <v>27</v>
      </c>
      <c r="G203" s="4">
        <v>50</v>
      </c>
      <c r="Q203" s="4">
        <v>200</v>
      </c>
      <c r="T203" s="4">
        <f t="shared" si="13"/>
        <v>250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-450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>
      <c r="A204" s="4" t="s">
        <v>326</v>
      </c>
      <c r="B204" s="4" t="s">
        <v>327</v>
      </c>
      <c r="C204" s="2" t="s">
        <v>32</v>
      </c>
      <c r="D204" s="2" t="s">
        <v>27</v>
      </c>
      <c r="E204" s="2" t="s">
        <v>33</v>
      </c>
      <c r="G204" s="4">
        <v>50</v>
      </c>
      <c r="Q204" s="4">
        <v>200</v>
      </c>
      <c r="T204" s="4">
        <f t="shared" si="13"/>
        <v>250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-180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>
      <c r="A205" s="4" t="s">
        <v>328</v>
      </c>
      <c r="B205" s="4" t="s">
        <v>243</v>
      </c>
      <c r="C205" s="2" t="s">
        <v>32</v>
      </c>
      <c r="D205" s="2" t="s">
        <v>27</v>
      </c>
      <c r="E205" s="2" t="s">
        <v>33</v>
      </c>
      <c r="G205" s="4">
        <v>50</v>
      </c>
      <c r="Q205" s="4">
        <v>200</v>
      </c>
      <c r="T205" s="4">
        <f t="shared" si="13"/>
        <v>250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-180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>
      <c r="A206" s="4" t="s">
        <v>329</v>
      </c>
      <c r="B206" s="4" t="s">
        <v>127</v>
      </c>
      <c r="C206" s="2" t="s">
        <v>32</v>
      </c>
      <c r="D206" s="2" t="s">
        <v>27</v>
      </c>
      <c r="E206" s="2" t="s">
        <v>33</v>
      </c>
      <c r="G206" s="4">
        <v>50</v>
      </c>
      <c r="Q206" s="4">
        <v>200</v>
      </c>
      <c r="T206" s="4">
        <f t="shared" si="13"/>
        <v>250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-180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>
      <c r="A207" s="4" t="s">
        <v>330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 hidden="1">
      <c r="A208" s="4" t="s">
        <v>331</v>
      </c>
      <c r="B208" s="4" t="s">
        <v>78</v>
      </c>
      <c r="C208" s="2" t="s">
        <v>87</v>
      </c>
      <c r="D208" s="2" t="s">
        <v>27</v>
      </c>
      <c r="E208" s="2" t="s">
        <v>33</v>
      </c>
      <c r="F208" s="2" t="s">
        <v>170</v>
      </c>
      <c r="G208" s="4">
        <v>50</v>
      </c>
      <c r="P208" s="4">
        <v>100</v>
      </c>
      <c r="T208" s="4">
        <f t="shared" si="13"/>
        <v>150</v>
      </c>
      <c r="U208" s="36">
        <f>IF(Table2[[#This Row],[Nazwisko]]="","",IF(AND(D208="Nie",E208="Nie"),0,IF(AND(D208="Tak",E208="Nie"),Podsumowanie!$B$19,Podsumowanie!$C$19)))</f>
        <v>430</v>
      </c>
      <c r="V208" s="4">
        <f t="shared" si="11"/>
        <v>-280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>
      <c r="A209" s="4" t="s">
        <v>332</v>
      </c>
      <c r="B209" s="4" t="s">
        <v>333</v>
      </c>
      <c r="C209" s="2" t="s">
        <v>32</v>
      </c>
      <c r="D209" s="2" t="s">
        <v>27</v>
      </c>
      <c r="E209" s="2" t="s">
        <v>33</v>
      </c>
      <c r="F209" s="2" t="s">
        <v>334</v>
      </c>
      <c r="G209" s="4">
        <v>50</v>
      </c>
      <c r="Q209" s="4">
        <v>200</v>
      </c>
      <c r="T209" s="4">
        <f t="shared" si="13"/>
        <v>250</v>
      </c>
      <c r="U209" s="36">
        <f>IF(Table2[[#This Row],[Nazwisko]]="","",IF(AND(D209="Nie",E209="Nie"),0,IF(AND(D209="Tak",E209="Nie"),Podsumowanie!$B$19,Podsumowanie!$C$19)))</f>
        <v>430</v>
      </c>
      <c r="V209" s="4">
        <f t="shared" si="11"/>
        <v>-180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 hidden="1">
      <c r="A210" s="4" t="s">
        <v>335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 hidden="1">
      <c r="A211" s="4" t="s">
        <v>336</v>
      </c>
      <c r="B211" s="4" t="s">
        <v>337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 hidden="1">
      <c r="A212" s="4" t="s">
        <v>338</v>
      </c>
      <c r="B212" s="4" t="s">
        <v>78</v>
      </c>
      <c r="C212" s="2" t="s">
        <v>178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 hidden="1">
      <c r="A213" s="4" t="s">
        <v>339</v>
      </c>
      <c r="B213" s="4" t="s">
        <v>78</v>
      </c>
      <c r="C213" s="2" t="s">
        <v>178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 hidden="1">
      <c r="A214" s="4" t="s">
        <v>340</v>
      </c>
      <c r="B214" s="4" t="s">
        <v>222</v>
      </c>
      <c r="C214" s="2" t="s">
        <v>178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 hidden="1">
      <c r="A215" s="4" t="s">
        <v>341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>
      <c r="A216" s="4" t="s">
        <v>342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Q216" s="4">
        <v>200</v>
      </c>
      <c r="T216" s="4">
        <f t="shared" si="13"/>
        <v>250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-180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>
      <c r="A217" s="4" t="s">
        <v>343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Q217" s="4">
        <v>200</v>
      </c>
      <c r="T217" s="4">
        <f t="shared" si="13"/>
        <v>250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-180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 hidden="1">
      <c r="A218" s="117" t="s">
        <v>233</v>
      </c>
      <c r="B218" s="4" t="s">
        <v>78</v>
      </c>
      <c r="C218" s="2" t="s">
        <v>187</v>
      </c>
      <c r="D218" s="2" t="s">
        <v>27</v>
      </c>
      <c r="E218" s="2" t="s">
        <v>33</v>
      </c>
      <c r="G218" s="4">
        <v>50</v>
      </c>
      <c r="K218" s="4">
        <v>100</v>
      </c>
      <c r="L218" s="4">
        <v>100</v>
      </c>
      <c r="T218" s="4">
        <f t="shared" si="13"/>
        <v>250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-180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 hidden="1">
      <c r="A219" s="117" t="s">
        <v>344</v>
      </c>
      <c r="B219" s="4" t="s">
        <v>52</v>
      </c>
      <c r="C219" s="2" t="s">
        <v>187</v>
      </c>
      <c r="D219" s="2" t="s">
        <v>27</v>
      </c>
      <c r="E219" s="2" t="s">
        <v>33</v>
      </c>
      <c r="G219" s="4">
        <v>50</v>
      </c>
      <c r="K219" s="4">
        <v>100</v>
      </c>
      <c r="L219" s="4">
        <v>100</v>
      </c>
      <c r="T219" s="4">
        <f t="shared" si="13"/>
        <v>250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-180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 hidden="1">
      <c r="A220" s="4" t="s">
        <v>345</v>
      </c>
      <c r="B220" s="4" t="s">
        <v>346</v>
      </c>
      <c r="C220" s="2" t="s">
        <v>87</v>
      </c>
      <c r="D220" s="2" t="s">
        <v>27</v>
      </c>
      <c r="E220" s="2" t="s">
        <v>27</v>
      </c>
      <c r="G220" s="4">
        <v>50</v>
      </c>
      <c r="P220" s="4">
        <v>100</v>
      </c>
      <c r="T220" s="4">
        <f t="shared" si="13"/>
        <v>150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-550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>
      <c r="A221" s="4" t="s">
        <v>347</v>
      </c>
      <c r="B221" s="4" t="s">
        <v>167</v>
      </c>
      <c r="C221" s="2" t="s">
        <v>32</v>
      </c>
      <c r="D221" s="2" t="s">
        <v>27</v>
      </c>
      <c r="E221" s="2" t="s">
        <v>33</v>
      </c>
      <c r="G221" s="4">
        <v>50</v>
      </c>
      <c r="Q221" s="4">
        <v>200</v>
      </c>
      <c r="T221" s="4">
        <f t="shared" si="13"/>
        <v>250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-180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 hidden="1">
      <c r="A222" s="4" t="s">
        <v>348</v>
      </c>
      <c r="B222" s="4" t="s">
        <v>100</v>
      </c>
      <c r="C222" s="2" t="s">
        <v>178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 hidden="1">
      <c r="A223" s="4" t="s">
        <v>292</v>
      </c>
      <c r="B223" s="4" t="s">
        <v>349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 hidden="1">
      <c r="A224" s="117" t="s">
        <v>350</v>
      </c>
      <c r="B224" s="4" t="s">
        <v>225</v>
      </c>
      <c r="C224" s="2" t="s">
        <v>187</v>
      </c>
      <c r="D224" s="2" t="s">
        <v>27</v>
      </c>
      <c r="E224" s="2" t="s">
        <v>27</v>
      </c>
      <c r="G224" s="4">
        <v>50</v>
      </c>
      <c r="K224" s="4">
        <v>100</v>
      </c>
      <c r="L224" s="4">
        <v>100</v>
      </c>
      <c r="T224" s="4">
        <f t="shared" si="13"/>
        <v>250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-450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 hidden="1">
      <c r="A225" s="4" t="s">
        <v>351</v>
      </c>
      <c r="B225" s="4" t="s">
        <v>352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 hidden="1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 hidden="1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 hidden="1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 hidden="1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 hidden="1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G230" s="4">
        <v>50</v>
      </c>
      <c r="K230" s="4">
        <v>100</v>
      </c>
      <c r="L230" s="4">
        <v>100</v>
      </c>
      <c r="T230" s="4">
        <f t="shared" si="13"/>
        <v>250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-180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 hidden="1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G231" s="4">
        <v>50</v>
      </c>
      <c r="K231" s="4">
        <v>100</v>
      </c>
      <c r="L231" s="4">
        <v>100</v>
      </c>
      <c r="T231" s="4">
        <f t="shared" ref="T231:T235" si="14">SUM(G231:S231)</f>
        <v>250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-450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 hidden="1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G232" s="4">
        <v>50</v>
      </c>
      <c r="K232" s="4">
        <v>100</v>
      </c>
      <c r="L232" s="4">
        <v>100</v>
      </c>
      <c r="M232" s="4">
        <v>100</v>
      </c>
      <c r="T232" s="4">
        <f t="shared" si="14"/>
        <v>350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-350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 hidden="1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 hidden="1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 hidden="1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C6910-73D1-4F69-8337-BD48438868AD}">
  <dimension ref="B4:C39"/>
  <sheetViews>
    <sheetView workbookViewId="0">
      <selection activeCell="B4" sqref="B4:B39"/>
    </sheetView>
  </sheetViews>
  <sheetFormatPr defaultRowHeight="15"/>
  <sheetData>
    <row r="4" spans="2:3">
      <c r="B4" s="133" t="s">
        <v>108</v>
      </c>
      <c r="C4" s="133" t="s">
        <v>109</v>
      </c>
    </row>
    <row r="5" spans="2:3">
      <c r="B5" s="133" t="s">
        <v>328</v>
      </c>
      <c r="C5" s="133" t="s">
        <v>243</v>
      </c>
    </row>
    <row r="6" spans="2:3">
      <c r="B6" s="133" t="s">
        <v>43</v>
      </c>
      <c r="C6" s="133" t="s">
        <v>44</v>
      </c>
    </row>
    <row r="7" spans="2:3">
      <c r="B7" s="133" t="s">
        <v>235</v>
      </c>
      <c r="C7" s="133" t="s">
        <v>177</v>
      </c>
    </row>
    <row r="8" spans="2:3">
      <c r="B8" s="133" t="s">
        <v>75</v>
      </c>
      <c r="C8" s="133" t="s">
        <v>76</v>
      </c>
    </row>
    <row r="9" spans="2:3">
      <c r="B9" s="133" t="s">
        <v>342</v>
      </c>
      <c r="C9" s="133" t="s">
        <v>31</v>
      </c>
    </row>
    <row r="10" spans="2:3">
      <c r="B10" s="133" t="s">
        <v>326</v>
      </c>
      <c r="C10" s="133" t="s">
        <v>327</v>
      </c>
    </row>
    <row r="11" spans="2:3">
      <c r="B11" s="133" t="s">
        <v>325</v>
      </c>
      <c r="C11" s="133" t="s">
        <v>314</v>
      </c>
    </row>
    <row r="12" spans="2:3">
      <c r="B12" s="133" t="s">
        <v>110</v>
      </c>
      <c r="C12" s="133" t="s">
        <v>111</v>
      </c>
    </row>
    <row r="13" spans="2:3">
      <c r="B13" s="133" t="s">
        <v>219</v>
      </c>
      <c r="C13" s="133" t="s">
        <v>220</v>
      </c>
    </row>
    <row r="14" spans="2:3">
      <c r="B14" t="s">
        <v>253</v>
      </c>
      <c r="C14" t="s">
        <v>31</v>
      </c>
    </row>
    <row r="15" spans="2:3">
      <c r="B15" t="s">
        <v>74</v>
      </c>
      <c r="C15" t="s">
        <v>63</v>
      </c>
    </row>
    <row r="16" spans="2:3">
      <c r="B16" s="133" t="s">
        <v>228</v>
      </c>
      <c r="C16" s="133" t="s">
        <v>73</v>
      </c>
    </row>
    <row r="17" spans="2:3">
      <c r="B17" t="s">
        <v>106</v>
      </c>
      <c r="C17" t="s">
        <v>107</v>
      </c>
    </row>
    <row r="18" spans="2:3">
      <c r="B18" t="s">
        <v>231</v>
      </c>
      <c r="C18" t="s">
        <v>57</v>
      </c>
    </row>
    <row r="19" spans="2:3">
      <c r="B19" t="s">
        <v>38</v>
      </c>
      <c r="C19" t="s">
        <v>39</v>
      </c>
    </row>
    <row r="20" spans="2:3">
      <c r="B20" t="s">
        <v>324</v>
      </c>
      <c r="C20" t="s">
        <v>304</v>
      </c>
    </row>
    <row r="21" spans="2:3">
      <c r="B21" t="s">
        <v>259</v>
      </c>
      <c r="C21" t="s">
        <v>29</v>
      </c>
    </row>
    <row r="22" spans="2:3">
      <c r="B22" t="s">
        <v>56</v>
      </c>
      <c r="C22" t="s">
        <v>57</v>
      </c>
    </row>
    <row r="23" spans="2:3">
      <c r="B23" t="s">
        <v>330</v>
      </c>
      <c r="C23" t="s">
        <v>78</v>
      </c>
    </row>
    <row r="24" spans="2:3">
      <c r="B24" t="s">
        <v>180</v>
      </c>
      <c r="C24" t="s">
        <v>181</v>
      </c>
    </row>
    <row r="25" spans="2:3">
      <c r="B25" t="s">
        <v>233</v>
      </c>
      <c r="C25" t="s">
        <v>59</v>
      </c>
    </row>
    <row r="26" spans="2:3">
      <c r="B26" t="s">
        <v>332</v>
      </c>
      <c r="C26" t="s">
        <v>333</v>
      </c>
    </row>
    <row r="27" spans="2:3">
      <c r="B27" t="s">
        <v>77</v>
      </c>
      <c r="C27" t="s">
        <v>78</v>
      </c>
    </row>
    <row r="28" spans="2:3">
      <c r="B28" t="s">
        <v>343</v>
      </c>
      <c r="C28" t="s">
        <v>80</v>
      </c>
    </row>
    <row r="29" spans="2:3">
      <c r="B29" t="s">
        <v>41</v>
      </c>
      <c r="C29" t="s">
        <v>42</v>
      </c>
    </row>
    <row r="30" spans="2:3">
      <c r="B30" t="s">
        <v>69</v>
      </c>
      <c r="C30" t="s">
        <v>70</v>
      </c>
    </row>
    <row r="31" spans="2:3">
      <c r="B31" t="s">
        <v>79</v>
      </c>
      <c r="C31" t="s">
        <v>80</v>
      </c>
    </row>
    <row r="32" spans="2:3">
      <c r="B32" t="s">
        <v>266</v>
      </c>
      <c r="C32" t="s">
        <v>172</v>
      </c>
    </row>
    <row r="33" spans="2:3">
      <c r="B33" t="s">
        <v>329</v>
      </c>
      <c r="C33" t="s">
        <v>127</v>
      </c>
    </row>
    <row r="34" spans="2:3">
      <c r="B34" t="s">
        <v>234</v>
      </c>
      <c r="C34" t="s">
        <v>131</v>
      </c>
    </row>
    <row r="35" spans="2:3">
      <c r="B35" t="s">
        <v>30</v>
      </c>
      <c r="C35" t="s">
        <v>31</v>
      </c>
    </row>
    <row r="36" spans="2:3">
      <c r="B36" t="s">
        <v>347</v>
      </c>
      <c r="C36" t="s">
        <v>167</v>
      </c>
    </row>
    <row r="37" spans="2:3">
      <c r="B37" t="s">
        <v>72</v>
      </c>
      <c r="C37" t="s">
        <v>73</v>
      </c>
    </row>
    <row r="38" spans="2:3">
      <c r="B38" t="s">
        <v>148</v>
      </c>
      <c r="C38" t="s">
        <v>46</v>
      </c>
    </row>
    <row r="39" spans="2:3">
      <c r="B39" t="s">
        <v>47</v>
      </c>
      <c r="C39" t="s">
        <v>48</v>
      </c>
    </row>
  </sheetData>
  <sortState xmlns:xlrd2="http://schemas.microsoft.com/office/spreadsheetml/2017/richdata2" ref="B4:C39">
    <sortCondition ref="B4:B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workbookViewId="0">
      <selection activeCell="I23" sqref="I23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69.570312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353</v>
      </c>
      <c r="B2" s="2" t="s">
        <v>354</v>
      </c>
      <c r="C2" s="3" t="s">
        <v>355</v>
      </c>
      <c r="D2" s="26" t="s">
        <v>356</v>
      </c>
      <c r="E2" s="4" t="s">
        <v>357</v>
      </c>
      <c r="F2" s="4" t="s">
        <v>358</v>
      </c>
      <c r="G2" s="4" t="s">
        <v>359</v>
      </c>
      <c r="H2" s="4" t="s">
        <v>360</v>
      </c>
      <c r="I2" s="4" t="s">
        <v>23</v>
      </c>
    </row>
    <row r="3" spans="1:9">
      <c r="A3" s="58" t="s">
        <v>361</v>
      </c>
      <c r="B3" s="32" t="b">
        <v>1</v>
      </c>
      <c r="C3" s="32" t="b">
        <v>1</v>
      </c>
      <c r="D3" s="33">
        <f>Podsumowanie!C12</f>
        <v>364</v>
      </c>
      <c r="E3" s="88">
        <v>270</v>
      </c>
      <c r="F3" s="88">
        <f>Table1[[#This Row],[Ilość]]*Table1[[#This Row],[Cena]]</f>
        <v>98280</v>
      </c>
      <c r="G3" s="88">
        <v>2000</v>
      </c>
      <c r="H3" s="88">
        <f>Table1[[#This Row],[Koszt]]-Table1[[#This Row],[Zaliczka]]</f>
        <v>96280</v>
      </c>
      <c r="I3" s="122" t="s">
        <v>362</v>
      </c>
    </row>
    <row r="4" spans="1:9" s="2" customFormat="1" ht="43.5">
      <c r="A4" s="44" t="s">
        <v>363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364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365</v>
      </c>
    </row>
    <row r="6" spans="1:9">
      <c r="A6" s="58" t="s">
        <v>366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362</v>
      </c>
    </row>
    <row r="7" spans="1:9">
      <c r="A7" s="58" t="s">
        <v>367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365</v>
      </c>
    </row>
    <row r="8" spans="1:9">
      <c r="A8" s="1" t="s">
        <v>368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369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370</v>
      </c>
      <c r="B10" s="32" t="b">
        <v>0</v>
      </c>
      <c r="C10" s="32"/>
      <c r="D10" s="33">
        <f>(D3+D4)*1.1</f>
        <v>433.40000000000003</v>
      </c>
      <c r="E10" s="88">
        <v>7.5</v>
      </c>
      <c r="F10" s="88">
        <f>Table1[[#This Row],[Ilość]]*Table1[[#This Row],[Cena]]</f>
        <v>3250.5000000000005</v>
      </c>
      <c r="G10" s="88"/>
      <c r="H10" s="88">
        <f>Table1[[#This Row],[Koszt]]-Table1[[#This Row],[Zaliczka]]</f>
        <v>3250.5000000000005</v>
      </c>
      <c r="I10" s="122"/>
    </row>
    <row r="11" spans="1:9">
      <c r="A11" s="1" t="s">
        <v>371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372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365</v>
      </c>
    </row>
    <row r="13" spans="1:9">
      <c r="A13" s="1" t="s">
        <v>373</v>
      </c>
      <c r="B13" s="32" t="b">
        <v>0</v>
      </c>
      <c r="C13" s="32" t="b">
        <v>0</v>
      </c>
      <c r="D13" s="84">
        <f>Podsumowanie!B12</f>
        <v>222</v>
      </c>
      <c r="E13" s="89">
        <v>10</v>
      </c>
      <c r="F13" s="89">
        <f>Table1[[#This Row],[Ilość]]*Table1[[#This Row],[Cena]]</f>
        <v>2220</v>
      </c>
      <c r="G13" s="89">
        <v>75.849999999999994</v>
      </c>
      <c r="H13" s="89">
        <f>Table1[[#This Row],[Koszt]]-Table1[[#This Row],[Zaliczka]]</f>
        <v>2144.15</v>
      </c>
      <c r="I13" s="122" t="s">
        <v>374</v>
      </c>
    </row>
    <row r="14" spans="1:9">
      <c r="A14" s="1" t="s">
        <v>375</v>
      </c>
      <c r="B14" s="1"/>
      <c r="C14" s="1"/>
      <c r="D14" s="35"/>
      <c r="E14" s="35"/>
      <c r="F14" s="34">
        <f>SUBTOTAL(109,F3:F13)</f>
        <v>130090.5</v>
      </c>
      <c r="G14" s="34">
        <f>SUBTOTAL(109,G3:G13)</f>
        <v>4755.8500000000004</v>
      </c>
      <c r="H14" s="34">
        <f>SUBTOTAL(109,H3:H13)</f>
        <v>125334.65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M29" sqref="M29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376</v>
      </c>
      <c r="B1" s="65" t="s">
        <v>377</v>
      </c>
      <c r="C1" s="39" t="s">
        <v>378</v>
      </c>
      <c r="D1" s="24" t="s">
        <v>379</v>
      </c>
      <c r="E1" s="92" t="s">
        <v>380</v>
      </c>
      <c r="F1" s="92" t="s">
        <v>381</v>
      </c>
      <c r="G1" s="92" t="s">
        <v>382</v>
      </c>
      <c r="H1" s="92" t="s">
        <v>383</v>
      </c>
      <c r="I1" s="92"/>
      <c r="J1" s="93" t="s">
        <v>384</v>
      </c>
      <c r="K1" s="93" t="s">
        <v>385</v>
      </c>
      <c r="L1" s="93" t="s">
        <v>21</v>
      </c>
      <c r="T1" s="63"/>
      <c r="U1" s="90"/>
      <c r="V1" s="63"/>
    </row>
    <row r="2" spans="1:22">
      <c r="A2" s="41" t="s">
        <v>178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16</v>
      </c>
      <c r="D3" s="38">
        <f>SUM(B3:C3)</f>
        <v>40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14640</v>
      </c>
      <c r="K3" s="91">
        <f>SUMIFS('Lista uczniów_składki'!T:T,'Lista uczniów_składki'!C:C,Podsumowanie!A3)</f>
        <v>5300</v>
      </c>
      <c r="L3" s="91">
        <f t="shared" ref="L3:L8" si="2">K3-J3</f>
        <v>-9340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20</v>
      </c>
      <c r="D4" s="38">
        <f t="shared" ref="D4:D8" si="3">SUM(B4:C4)</f>
        <v>55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20450</v>
      </c>
      <c r="K4" s="91">
        <f>SUMIFS('Lista uczniów_składki'!T:T,'Lista uczniów_składki'!C:C,Podsumowanie!A4)</f>
        <v>5100</v>
      </c>
      <c r="L4" s="91">
        <f t="shared" si="2"/>
        <v>-15350</v>
      </c>
      <c r="T4" s="63"/>
      <c r="U4" s="90"/>
      <c r="V4" s="63"/>
    </row>
    <row r="5" spans="1:22">
      <c r="A5" s="20" t="s">
        <v>187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24</v>
      </c>
      <c r="D5" s="38">
        <f t="shared" si="3"/>
        <v>59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21530</v>
      </c>
      <c r="K5" s="91">
        <f>SUMIFS('Lista uczniów_składki'!T:T,'Lista uczniów_składki'!C:C,Podsumowanie!A5)</f>
        <v>9050</v>
      </c>
      <c r="L5" s="91">
        <f t="shared" si="2"/>
        <v>-12480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14</v>
      </c>
      <c r="D6" s="38">
        <f t="shared" si="3"/>
        <v>49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18830</v>
      </c>
      <c r="K6" s="91">
        <f>SUMIFS('Lista uczniów_składki'!T:T,'Lista uczniów_składki'!C:C,Podsumowanie!A6)</f>
        <v>10100</v>
      </c>
      <c r="L6" s="91">
        <f t="shared" si="2"/>
        <v>-8730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23</v>
      </c>
      <c r="D7" s="38">
        <f t="shared" si="3"/>
        <v>57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20830</v>
      </c>
      <c r="K7" s="91">
        <f>SUMIFS('Lista uczniów_składki'!T:T,'Lista uczniów_składki'!C:C,Podsumowanie!A7)</f>
        <v>1700</v>
      </c>
      <c r="L7" s="91">
        <f t="shared" si="2"/>
        <v>-19130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26</v>
      </c>
      <c r="C8" s="40">
        <f>COUNTIFS('Lista uczniów_składki'!E:E,"Tak",'Lista uczniów_składki'!C:C,Podsumowanie!A8)</f>
        <v>16</v>
      </c>
      <c r="D8" s="38">
        <f t="shared" si="3"/>
        <v>42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15500</v>
      </c>
      <c r="K8" s="94">
        <f>SUMIFS('Lista uczniów_składki'!T:T,'Lista uczniów_składki'!C:C,Podsumowanie!A8)</f>
        <v>1450</v>
      </c>
      <c r="L8" s="94">
        <f t="shared" si="2"/>
        <v>-14050</v>
      </c>
      <c r="T8" s="63"/>
      <c r="U8" s="90"/>
      <c r="V8" s="63"/>
    </row>
    <row r="9" spans="1:22">
      <c r="E9" s="63"/>
      <c r="J9" s="91">
        <f>SUM(J2:J8)</f>
        <v>133800</v>
      </c>
      <c r="K9" s="91">
        <f t="shared" ref="K9:L9" si="4">SUM(K2:K8)</f>
        <v>40050</v>
      </c>
      <c r="L9" s="91">
        <f t="shared" si="4"/>
        <v>-93750</v>
      </c>
    </row>
    <row r="11" spans="1:22">
      <c r="A11" s="125" t="s">
        <v>386</v>
      </c>
      <c r="B11" s="125"/>
      <c r="E11" s="63"/>
    </row>
    <row r="12" spans="1:22">
      <c r="A12" s="28" t="s">
        <v>387</v>
      </c>
      <c r="B12" s="16">
        <f>SUM(B2:B8)</f>
        <v>222</v>
      </c>
      <c r="C12" s="126">
        <f>SUM(B12:B13)</f>
        <v>364</v>
      </c>
      <c r="E12" s="63"/>
    </row>
    <row r="13" spans="1:22" s="8" customFormat="1">
      <c r="A13" s="29" t="s">
        <v>388</v>
      </c>
      <c r="B13" s="17">
        <f>SUM(C2:C8)</f>
        <v>142</v>
      </c>
      <c r="C13" s="127"/>
      <c r="E13" s="63"/>
      <c r="H13" s="61"/>
      <c r="I13" s="61"/>
    </row>
    <row r="14" spans="1:22" s="27" customFormat="1" ht="27.75">
      <c r="A14" s="30" t="s">
        <v>389</v>
      </c>
      <c r="B14" s="87">
        <f>Wydatki!D4</f>
        <v>30</v>
      </c>
      <c r="C14" s="124" t="s">
        <v>390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391</v>
      </c>
      <c r="B15" s="12">
        <f>SUM(Wydatki!F3:F4)</f>
        <v>98280</v>
      </c>
      <c r="E15" s="63"/>
    </row>
    <row r="16" spans="1:22" s="8" customFormat="1">
      <c r="A16" s="29" t="s">
        <v>392</v>
      </c>
      <c r="B16" s="13">
        <f>SUM(Wydatki!F5:F13)</f>
        <v>31810.5</v>
      </c>
      <c r="E16" s="63"/>
      <c r="H16" s="61"/>
      <c r="I16" s="61"/>
    </row>
    <row r="17" spans="1:9" s="8" customFormat="1">
      <c r="A17" s="31" t="s">
        <v>393</v>
      </c>
      <c r="B17" s="14">
        <f>SUM(B15:B16)</f>
        <v>130090.5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394</v>
      </c>
      <c r="B19" s="64">
        <v>430</v>
      </c>
      <c r="C19" s="128">
        <f>B19+B20</f>
        <v>700</v>
      </c>
      <c r="E19" s="63"/>
      <c r="H19" s="61"/>
      <c r="I19" s="61"/>
    </row>
    <row r="20" spans="1:9">
      <c r="A20" s="59" t="s">
        <v>395</v>
      </c>
      <c r="B20" s="110">
        <f>Wydatki!E3</f>
        <v>270</v>
      </c>
      <c r="C20" s="128"/>
      <c r="E20" s="63"/>
    </row>
    <row r="21" spans="1:9" ht="6.75" customHeight="1">
      <c r="E21" s="63"/>
    </row>
    <row r="22" spans="1:9">
      <c r="A22" s="19" t="s">
        <v>396</v>
      </c>
      <c r="B22" s="11">
        <f>B19*B12+B20*B13</f>
        <v>133800</v>
      </c>
      <c r="E22" s="108"/>
    </row>
    <row r="23" spans="1:9">
      <c r="A23" s="20" t="s">
        <v>397</v>
      </c>
      <c r="B23" s="12">
        <f>SUM(Table1[Koszt])</f>
        <v>130090.5</v>
      </c>
      <c r="E23" s="63"/>
    </row>
    <row r="24" spans="1:9">
      <c r="A24" s="21" t="s">
        <v>398</v>
      </c>
      <c r="B24" s="15">
        <f>B22-B23</f>
        <v>3709.5</v>
      </c>
      <c r="E24" s="63"/>
    </row>
    <row r="26" spans="1:9">
      <c r="A26" s="22" t="s">
        <v>376</v>
      </c>
      <c r="B26" s="24" t="s">
        <v>399</v>
      </c>
      <c r="E26" s="63"/>
    </row>
    <row r="27" spans="1:9">
      <c r="A27" s="41" t="s">
        <v>178</v>
      </c>
      <c r="B27" s="18">
        <f>IF(B2=0,"",B$24/SUM($B$3:$B$8)*B2)</f>
        <v>647.69047619047615</v>
      </c>
      <c r="E27" s="63"/>
    </row>
    <row r="28" spans="1:9" s="7" customFormat="1">
      <c r="A28" s="23" t="s">
        <v>53</v>
      </c>
      <c r="B28" s="18">
        <f>IF(B3=0,"",B$24/SUM($B$3:$B$8)*B3)</f>
        <v>471.04761904761904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686.94444444444446</v>
      </c>
      <c r="E29" s="63"/>
    </row>
    <row r="30" spans="1:9">
      <c r="A30" s="20" t="s">
        <v>187</v>
      </c>
      <c r="B30" s="18">
        <f>IF(B5=0,"",B$24/SUM($B$3:$B$8)*B5)</f>
        <v>686.94444444444446</v>
      </c>
      <c r="E30" s="63"/>
    </row>
    <row r="31" spans="1:9">
      <c r="A31" s="20" t="s">
        <v>32</v>
      </c>
      <c r="B31" s="18">
        <f>IF(B6=0,"",B$24/SUM($B$3:$B$8)*B6)</f>
        <v>686.94444444444446</v>
      </c>
      <c r="E31" s="63"/>
    </row>
    <row r="32" spans="1:9">
      <c r="A32" s="20" t="s">
        <v>26</v>
      </c>
      <c r="B32" s="18">
        <f>IF(B7=0,"",B$24/SUM($B$3:$B$8)*B7)</f>
        <v>667.31746031746025</v>
      </c>
      <c r="E32" s="63"/>
    </row>
    <row r="33" spans="1:5">
      <c r="A33" s="20" t="s">
        <v>113</v>
      </c>
      <c r="B33" s="18">
        <f>IF(B8=0,"",B$24/SUM($B$3:$B$8)*B8)</f>
        <v>510.30158730158729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C11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400</v>
      </c>
      <c r="D4" s="67"/>
    </row>
    <row r="5" spans="1:5">
      <c r="C5" s="1" t="s">
        <v>401</v>
      </c>
      <c r="D5" s="68">
        <f>SUM(Podsumowanie!E2:E8)</f>
        <v>233</v>
      </c>
    </row>
    <row r="6" spans="1:5">
      <c r="C6" s="1" t="s">
        <v>402</v>
      </c>
      <c r="D6" s="68">
        <f>SUM(Podsumowanie!B2:B8)</f>
        <v>222</v>
      </c>
    </row>
    <row r="7" spans="1:5">
      <c r="C7" s="1" t="s">
        <v>403</v>
      </c>
      <c r="D7" s="68">
        <f>SUM(Podsumowanie!C2:C8)</f>
        <v>142</v>
      </c>
    </row>
    <row r="8" spans="1:5">
      <c r="C8" s="1" t="s">
        <v>404</v>
      </c>
      <c r="D8" s="68">
        <f>D6+D7</f>
        <v>364</v>
      </c>
    </row>
    <row r="9" spans="1:5" ht="16.5" customHeight="1">
      <c r="A9" s="130" t="s">
        <v>405</v>
      </c>
      <c r="B9" s="131" t="s">
        <v>359</v>
      </c>
      <c r="C9" s="69" t="s">
        <v>406</v>
      </c>
      <c r="D9" s="106">
        <f>Podsumowanie!B14</f>
        <v>30</v>
      </c>
      <c r="E9" s="105" t="s">
        <v>407</v>
      </c>
    </row>
    <row r="10" spans="1:5" ht="15" customHeight="1">
      <c r="A10" s="130"/>
      <c r="B10" s="131"/>
    </row>
    <row r="11" spans="1:5" ht="18" customHeight="1">
      <c r="A11" s="130"/>
      <c r="B11" s="131"/>
      <c r="C11" s="85" t="s">
        <v>408</v>
      </c>
      <c r="D11" s="67"/>
    </row>
    <row r="12" spans="1:5">
      <c r="A12" s="82" t="b">
        <v>1</v>
      </c>
      <c r="B12" s="82" t="b">
        <v>1</v>
      </c>
      <c r="C12" s="70" t="s">
        <v>409</v>
      </c>
      <c r="D12" s="71">
        <f>Wydatki!F3</f>
        <v>98280</v>
      </c>
      <c r="E12" s="115" t="s">
        <v>362</v>
      </c>
    </row>
    <row r="13" spans="1:5" ht="28.5">
      <c r="A13" s="83" t="b">
        <v>1</v>
      </c>
      <c r="B13" s="83" t="b">
        <v>1</v>
      </c>
      <c r="C13" s="72" t="s">
        <v>363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410</v>
      </c>
      <c r="D14" s="71">
        <f>Wydatki!F5</f>
        <v>8000</v>
      </c>
      <c r="E14" s="115" t="s">
        <v>365</v>
      </c>
    </row>
    <row r="15" spans="1:5">
      <c r="A15" s="82" t="b">
        <v>1</v>
      </c>
      <c r="B15" s="82" t="b">
        <v>1</v>
      </c>
      <c r="C15" s="70" t="s">
        <v>411</v>
      </c>
      <c r="D15" s="71">
        <f>Wydatki!F6</f>
        <v>12000</v>
      </c>
      <c r="E15" s="105" t="s">
        <v>362</v>
      </c>
    </row>
    <row r="16" spans="1:5">
      <c r="A16" s="82" t="b">
        <v>1</v>
      </c>
      <c r="B16" s="82" t="b">
        <v>1</v>
      </c>
      <c r="C16" s="70" t="s">
        <v>412</v>
      </c>
      <c r="D16" s="71">
        <f>Wydatki!F7</f>
        <v>1400</v>
      </c>
      <c r="E16" s="115" t="s">
        <v>365</v>
      </c>
    </row>
    <row r="17" spans="1:6">
      <c r="A17" s="82" t="b">
        <v>0</v>
      </c>
      <c r="B17" s="82" t="b">
        <v>0</v>
      </c>
      <c r="C17" s="73" t="s">
        <v>368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369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370</v>
      </c>
      <c r="D19" s="71">
        <f>Wydatki!F10</f>
        <v>3250.5000000000005</v>
      </c>
      <c r="E19" s="115"/>
    </row>
    <row r="20" spans="1:6">
      <c r="A20" s="82" t="b">
        <v>0</v>
      </c>
      <c r="B20" s="82" t="b">
        <v>0</v>
      </c>
      <c r="C20" s="73" t="s">
        <v>371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372</v>
      </c>
      <c r="D21" s="71">
        <f>Wydatki!F12</f>
        <v>1800</v>
      </c>
      <c r="E21" s="115" t="s">
        <v>365</v>
      </c>
    </row>
    <row r="22" spans="1:6" ht="26.25">
      <c r="A22" s="83" t="b">
        <v>0</v>
      </c>
      <c r="B22" s="83" t="b">
        <v>0</v>
      </c>
      <c r="C22" s="104" t="s">
        <v>413</v>
      </c>
      <c r="D22" s="107">
        <f>Wydatki!F13</f>
        <v>2220</v>
      </c>
      <c r="E22" s="115"/>
    </row>
    <row r="23" spans="1:6" ht="18.75">
      <c r="C23" s="74" t="s">
        <v>375</v>
      </c>
      <c r="D23" s="75">
        <f>Wydatki!F14</f>
        <v>130090.5</v>
      </c>
    </row>
    <row r="26" spans="1:6">
      <c r="C26" s="66" t="s">
        <v>414</v>
      </c>
      <c r="D26" s="67"/>
    </row>
    <row r="27" spans="1:6" ht="16.5">
      <c r="C27" s="79" t="s">
        <v>415</v>
      </c>
      <c r="D27" s="78">
        <f>Podsumowanie!B19</f>
        <v>430</v>
      </c>
      <c r="E27" s="129">
        <f>SUM(D27:D28)</f>
        <v>700</v>
      </c>
    </row>
    <row r="28" spans="1:6" ht="16.5">
      <c r="C28" s="79" t="s">
        <v>416</v>
      </c>
      <c r="D28" s="78">
        <f>Podsumowanie!B20</f>
        <v>270</v>
      </c>
      <c r="E28" s="129"/>
    </row>
    <row r="30" spans="1:6">
      <c r="C30" s="116"/>
    </row>
    <row r="31" spans="1:6">
      <c r="C31" s="102" t="s">
        <v>417</v>
      </c>
      <c r="D31" s="67"/>
      <c r="E31" s="67"/>
      <c r="F31" s="67"/>
    </row>
    <row r="32" spans="1:6">
      <c r="C32" s="97" t="s">
        <v>2</v>
      </c>
      <c r="D32" s="97" t="s">
        <v>418</v>
      </c>
      <c r="E32" s="97" t="s">
        <v>419</v>
      </c>
      <c r="F32" s="97" t="s">
        <v>21</v>
      </c>
    </row>
    <row r="33" spans="3:6">
      <c r="C33" s="99" t="s">
        <v>178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14640</v>
      </c>
      <c r="E34" s="96">
        <f>SUMIFS('Lista uczniów_składki'!T:T,'Lista uczniów_składki'!C:C,'Do wiadomości rodziców'!C34)</f>
        <v>5300</v>
      </c>
      <c r="F34" s="91">
        <f t="shared" ref="F34:F39" si="0">E34-D34</f>
        <v>-9340</v>
      </c>
    </row>
    <row r="35" spans="3:6">
      <c r="C35" s="101" t="s">
        <v>87</v>
      </c>
      <c r="D35" s="95">
        <f>SUMIFS('Lista uczniów_składki'!U:U,'Lista uczniów_składki'!C:C,'Do wiadomości rodziców'!C35)</f>
        <v>20450</v>
      </c>
      <c r="E35" s="96">
        <f>SUMIFS('Lista uczniów_składki'!T:T,'Lista uczniów_składki'!C:C,'Do wiadomości rodziców'!C35)</f>
        <v>5100</v>
      </c>
      <c r="F35" s="91">
        <f t="shared" si="0"/>
        <v>-15350</v>
      </c>
    </row>
    <row r="36" spans="3:6">
      <c r="C36" s="101" t="s">
        <v>187</v>
      </c>
      <c r="D36" s="95">
        <f>SUMIFS('Lista uczniów_składki'!U:U,'Lista uczniów_składki'!C:C,'Do wiadomości rodziców'!C36)</f>
        <v>21530</v>
      </c>
      <c r="E36" s="96">
        <f>SUMIFS('Lista uczniów_składki'!T:T,'Lista uczniów_składki'!C:C,'Do wiadomości rodziców'!C36)</f>
        <v>9050</v>
      </c>
      <c r="F36" s="91">
        <f t="shared" si="0"/>
        <v>-12480</v>
      </c>
    </row>
    <row r="37" spans="3:6">
      <c r="C37" s="101" t="s">
        <v>32</v>
      </c>
      <c r="D37" s="95">
        <f>SUMIFS('Lista uczniów_składki'!U:U,'Lista uczniów_składki'!C:C,'Do wiadomości rodziców'!C37)</f>
        <v>18830</v>
      </c>
      <c r="E37" s="96">
        <f>SUMIFS('Lista uczniów_składki'!T:T,'Lista uczniów_składki'!C:C,'Do wiadomości rodziców'!C37)</f>
        <v>10100</v>
      </c>
      <c r="F37" s="91">
        <f t="shared" si="0"/>
        <v>-8730</v>
      </c>
    </row>
    <row r="38" spans="3:6">
      <c r="C38" s="101" t="s">
        <v>26</v>
      </c>
      <c r="D38" s="95">
        <f>SUMIFS('Lista uczniów_składki'!U:U,'Lista uczniów_składki'!C:C,'Do wiadomości rodziców'!C38)</f>
        <v>20830</v>
      </c>
      <c r="E38" s="96">
        <f>SUMIFS('Lista uczniów_składki'!T:T,'Lista uczniów_składki'!C:C,'Do wiadomości rodziców'!C38)</f>
        <v>1700</v>
      </c>
      <c r="F38" s="91">
        <f t="shared" si="0"/>
        <v>-19130</v>
      </c>
    </row>
    <row r="39" spans="3:6">
      <c r="C39" s="101" t="s">
        <v>113</v>
      </c>
      <c r="D39" s="95">
        <f>SUMIFS('Lista uczniów_składki'!U:U,'Lista uczniów_składki'!C:C,'Do wiadomości rodziców'!C39)</f>
        <v>15500</v>
      </c>
      <c r="E39" s="96">
        <f>SUMIFS('Lista uczniów_składki'!T:T,'Lista uczniów_składki'!C:C,'Do wiadomości rodziców'!C39)</f>
        <v>1450</v>
      </c>
      <c r="F39" s="98">
        <f t="shared" si="0"/>
        <v>-14050</v>
      </c>
    </row>
    <row r="40" spans="3:6">
      <c r="C40" s="103" t="s">
        <v>375</v>
      </c>
      <c r="D40" s="121">
        <f>SUBTOTAL(109,D33:D39)</f>
        <v>133800</v>
      </c>
      <c r="E40" s="121">
        <f>SUBTOTAL(109,E33:E39)</f>
        <v>40050</v>
      </c>
      <c r="F40" s="121">
        <f>SUBTOTAL(109,Table5[Delta])</f>
        <v>-93750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32" t="s">
        <v>420</v>
      </c>
      <c r="D44" s="132"/>
      <c r="E44" s="132"/>
      <c r="F44" s="120">
        <f>SUM(F46:F52)</f>
        <v>14420</v>
      </c>
    </row>
    <row r="45" spans="3:6">
      <c r="C45" s="118" t="s">
        <v>421</v>
      </c>
      <c r="D45" s="119" t="s">
        <v>422</v>
      </c>
      <c r="E45" s="119" t="s">
        <v>423</v>
      </c>
      <c r="F45" s="119" t="s">
        <v>424</v>
      </c>
    </row>
    <row r="46" spans="3:6">
      <c r="C46" s="123" t="s">
        <v>425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426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427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428</v>
      </c>
      <c r="B1" s="2" t="s">
        <v>429</v>
      </c>
      <c r="C1" s="2" t="s">
        <v>430</v>
      </c>
      <c r="D1" s="2" t="s">
        <v>431</v>
      </c>
    </row>
    <row r="2" spans="1:4">
      <c r="A2" s="2" t="s">
        <v>432</v>
      </c>
      <c r="B2" s="114">
        <v>46275</v>
      </c>
      <c r="C2" s="2" t="s">
        <v>433</v>
      </c>
      <c r="D2" s="43" t="b">
        <v>1</v>
      </c>
    </row>
    <row r="3" spans="1:4">
      <c r="A3" s="2" t="s">
        <v>434</v>
      </c>
      <c r="B3" s="114">
        <v>46401</v>
      </c>
      <c r="C3" s="2" t="s">
        <v>425</v>
      </c>
      <c r="D3" s="43" t="b">
        <v>0</v>
      </c>
    </row>
    <row r="4" spans="1:4">
      <c r="A4" s="2" t="s">
        <v>435</v>
      </c>
      <c r="B4" s="114">
        <v>46395</v>
      </c>
      <c r="C4" s="2" t="s">
        <v>425</v>
      </c>
      <c r="D4" s="43" t="b">
        <v>0</v>
      </c>
    </row>
    <row r="5" spans="1:4">
      <c r="A5" s="2" t="s">
        <v>436</v>
      </c>
      <c r="B5" s="114">
        <v>46254</v>
      </c>
      <c r="C5" s="2" t="s">
        <v>425</v>
      </c>
      <c r="D5" s="43" t="b">
        <v>0</v>
      </c>
    </row>
    <row r="6" spans="1:4">
      <c r="A6" s="2" t="s">
        <v>437</v>
      </c>
      <c r="B6" s="114">
        <v>46412</v>
      </c>
      <c r="C6" s="2" t="s">
        <v>438</v>
      </c>
      <c r="D6" s="43" t="b">
        <v>0</v>
      </c>
    </row>
    <row r="7" spans="1:4">
      <c r="A7" s="2" t="s">
        <v>439</v>
      </c>
      <c r="B7" s="114">
        <v>46185</v>
      </c>
      <c r="C7" s="2" t="s">
        <v>425</v>
      </c>
      <c r="D7" s="43" t="b">
        <v>1</v>
      </c>
    </row>
    <row r="8" spans="1:4">
      <c r="A8" s="2" t="s">
        <v>440</v>
      </c>
      <c r="B8" s="114">
        <v>46192</v>
      </c>
      <c r="C8" s="2" t="s">
        <v>425</v>
      </c>
      <c r="D8" s="43" t="b">
        <v>1</v>
      </c>
    </row>
    <row r="9" spans="1:4">
      <c r="A9" s="2" t="s">
        <v>441</v>
      </c>
      <c r="B9" s="114">
        <v>46192</v>
      </c>
      <c r="C9" s="2" t="s">
        <v>442</v>
      </c>
      <c r="D9" s="43" t="b">
        <v>0</v>
      </c>
    </row>
    <row r="10" spans="1:4">
      <c r="A10" s="2" t="s">
        <v>443</v>
      </c>
      <c r="B10" s="114">
        <v>46267</v>
      </c>
      <c r="C10" s="2" t="s">
        <v>442</v>
      </c>
      <c r="D10" s="43" t="b">
        <v>0</v>
      </c>
    </row>
    <row r="11" spans="1:4">
      <c r="A11" s="2" t="s">
        <v>444</v>
      </c>
      <c r="B11" s="114">
        <v>46356</v>
      </c>
      <c r="C11" s="2" t="s">
        <v>445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446</v>
      </c>
      <c r="C3">
        <v>5750</v>
      </c>
      <c r="D3" t="s">
        <v>447</v>
      </c>
    </row>
    <row r="4" spans="2:4">
      <c r="B4" t="s">
        <v>448</v>
      </c>
      <c r="C4">
        <v>500</v>
      </c>
      <c r="D4" t="s">
        <v>449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workbookViewId="0">
      <selection activeCell="O56" sqref="O56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30.42578125" bestFit="1" customWidth="1"/>
    <col min="41" max="41" width="17.28515625" bestFit="1" customWidth="1"/>
  </cols>
  <sheetData>
    <row r="5" spans="1:41">
      <c r="AC5" t="s">
        <v>450</v>
      </c>
    </row>
    <row r="6" spans="1:41">
      <c r="AC6" t="s">
        <v>353</v>
      </c>
      <c r="AD6" t="s">
        <v>358</v>
      </c>
      <c r="AE6" t="s">
        <v>359</v>
      </c>
      <c r="AF6" t="s">
        <v>360</v>
      </c>
      <c r="AG6" t="s">
        <v>23</v>
      </c>
      <c r="AN6" t="s">
        <v>376</v>
      </c>
      <c r="AO6" t="s">
        <v>399</v>
      </c>
    </row>
    <row r="7" spans="1:41">
      <c r="A7" t="s">
        <v>451</v>
      </c>
      <c r="B7" t="s">
        <v>452</v>
      </c>
      <c r="H7" t="s">
        <v>376</v>
      </c>
      <c r="I7" t="s">
        <v>377</v>
      </c>
      <c r="J7" t="s">
        <v>378</v>
      </c>
      <c r="K7" t="s">
        <v>384</v>
      </c>
      <c r="L7" t="s">
        <v>385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98280</v>
      </c>
      <c r="AE7" s="91">
        <f>Wydatki!G3</f>
        <v>2000</v>
      </c>
      <c r="AF7" s="91">
        <f>Wydatki!H3</f>
        <v>96280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647.69047619047615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418</v>
      </c>
      <c r="R8" t="s">
        <v>419</v>
      </c>
      <c r="S8" t="s">
        <v>21</v>
      </c>
      <c r="X8" t="s">
        <v>453</v>
      </c>
      <c r="Y8" t="s">
        <v>454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471.04761904761904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16</v>
      </c>
      <c r="K9" s="91">
        <f>Podsumowanie!J3</f>
        <v>14640</v>
      </c>
      <c r="L9" s="91">
        <f>Podsumowanie!K3</f>
        <v>5300</v>
      </c>
      <c r="M9" s="91">
        <f>Podsumowanie!L3</f>
        <v>-9340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222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686.94444444444446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20</v>
      </c>
      <c r="K10" s="91">
        <f>Podsumowanie!J4</f>
        <v>20450</v>
      </c>
      <c r="L10" s="91">
        <f>Podsumowanie!K4</f>
        <v>5100</v>
      </c>
      <c r="M10" s="91">
        <f>Podsumowanie!L4</f>
        <v>-15350</v>
      </c>
      <c r="P10" t="str">
        <f>'Do wiadomości rodziców'!C34</f>
        <v>3B</v>
      </c>
      <c r="Q10" s="91">
        <f>'Do wiadomości rodziców'!D34</f>
        <v>14640</v>
      </c>
      <c r="R10" s="91">
        <f>'Do wiadomości rodziców'!E34</f>
        <v>5300</v>
      </c>
      <c r="S10" s="91">
        <f>'Do wiadomości rodziców'!F34</f>
        <v>-9340</v>
      </c>
      <c r="X10" t="str">
        <f>'Do wiadomości rodziców'!C7</f>
        <v>Ilość osób towarzyszących</v>
      </c>
      <c r="Y10">
        <f>'Do wiadomości rodziców'!D7</f>
        <v>142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686.94444444444446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24</v>
      </c>
      <c r="K11" s="91">
        <f>Podsumowanie!J5</f>
        <v>21530</v>
      </c>
      <c r="L11" s="91">
        <f>Podsumowanie!K5</f>
        <v>9050</v>
      </c>
      <c r="M11" s="91">
        <f>Podsumowanie!L5</f>
        <v>-12480</v>
      </c>
      <c r="P11" t="str">
        <f>'Do wiadomości rodziców'!C35</f>
        <v>3C</v>
      </c>
      <c r="Q11" s="91">
        <f>'Do wiadomości rodziców'!D35</f>
        <v>20450</v>
      </c>
      <c r="R11" s="91">
        <f>'Do wiadomości rodziców'!E35</f>
        <v>5100</v>
      </c>
      <c r="S11" s="91">
        <f>'Do wiadomości rodziców'!F35</f>
        <v>-15350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686.94444444444446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14</v>
      </c>
      <c r="K12" s="91">
        <f>Podsumowanie!J6</f>
        <v>18830</v>
      </c>
      <c r="L12" s="91">
        <f>Podsumowanie!K6</f>
        <v>10100</v>
      </c>
      <c r="M12" s="91">
        <f>Podsumowanie!L6</f>
        <v>-8730</v>
      </c>
      <c r="P12" t="str">
        <f>'Do wiadomości rodziców'!C36</f>
        <v>3D</v>
      </c>
      <c r="Q12" s="91">
        <f>'Do wiadomości rodziców'!D36</f>
        <v>21530</v>
      </c>
      <c r="R12" s="91">
        <f>'Do wiadomości rodziców'!E36</f>
        <v>9050</v>
      </c>
      <c r="S12" s="91">
        <f>'Do wiadomości rodziców'!F36</f>
        <v>-12480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667.31746031746025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23</v>
      </c>
      <c r="K13" s="91">
        <f>Podsumowanie!J7</f>
        <v>20830</v>
      </c>
      <c r="L13" s="91">
        <f>Podsumowanie!K7</f>
        <v>1700</v>
      </c>
      <c r="M13" s="91">
        <f>Podsumowanie!L7</f>
        <v>-19130</v>
      </c>
      <c r="P13" t="str">
        <f>'Do wiadomości rodziców'!C37</f>
        <v>3D1</v>
      </c>
      <c r="Q13" s="91">
        <f>'Do wiadomości rodziców'!D37</f>
        <v>18830</v>
      </c>
      <c r="R13" s="91">
        <f>'Do wiadomości rodziców'!E37</f>
        <v>10100</v>
      </c>
      <c r="S13" s="91">
        <f>'Do wiadomości rodziców'!F37</f>
        <v>-8730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510.30158730158729</v>
      </c>
    </row>
    <row r="14" spans="1:41">
      <c r="H14" t="str">
        <f>Podsumowanie!A8</f>
        <v>3F</v>
      </c>
      <c r="I14">
        <f>Podsumowanie!B8</f>
        <v>26</v>
      </c>
      <c r="J14">
        <f>Podsumowanie!C8</f>
        <v>16</v>
      </c>
      <c r="K14" s="91">
        <f>Podsumowanie!J8</f>
        <v>15500</v>
      </c>
      <c r="L14" s="91">
        <f>Podsumowanie!K8</f>
        <v>1450</v>
      </c>
      <c r="M14" s="91">
        <f>Podsumowanie!L8</f>
        <v>-14050</v>
      </c>
      <c r="P14" t="str">
        <f>'Do wiadomości rodziców'!C38</f>
        <v>3E</v>
      </c>
      <c r="Q14" s="91">
        <f>'Do wiadomości rodziców'!D38</f>
        <v>20830</v>
      </c>
      <c r="R14" s="91">
        <f>'Do wiadomości rodziców'!E38</f>
        <v>1700</v>
      </c>
      <c r="S14" s="91">
        <f>'Do wiadomości rodziców'!F38</f>
        <v>-19130</v>
      </c>
      <c r="AC14" t="str">
        <f>Wydatki!A10</f>
        <v>Napoje gazowane [l] -&gt;1,1l/os</v>
      </c>
      <c r="AD14" s="91">
        <f>Wydatki!F10</f>
        <v>3250.5000000000005</v>
      </c>
      <c r="AE14" s="91">
        <f>Wydatki!G10</f>
        <v>0</v>
      </c>
      <c r="AF14" s="91">
        <f>Wydatki!H10</f>
        <v>3250.5000000000005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15500</v>
      </c>
      <c r="R15" s="91">
        <f>'Do wiadomości rodziców'!E39</f>
        <v>1450</v>
      </c>
      <c r="S15" s="91">
        <f>'Do wiadomości rodziców'!F39</f>
        <v>-14050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133800</v>
      </c>
      <c r="R16" s="91">
        <f>'Do wiadomości rodziców'!E40</f>
        <v>40050</v>
      </c>
      <c r="S16" s="91">
        <f>'Do wiadomości rodziców'!F40</f>
        <v>-93750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2220</v>
      </c>
      <c r="AE17" s="91">
        <f>Wydatki!G13</f>
        <v>75.849999999999994</v>
      </c>
      <c r="AF17" s="91">
        <f>Wydatki!H13</f>
        <v>2144.15</v>
      </c>
      <c r="AG17" t="str">
        <f>Wydatki!I13</f>
        <v>zakup Kasetki na pieniądze 75.85 (zapłacone)-&gt; Zaiks i inne 1100 zł(do opłacenia)</v>
      </c>
    </row>
    <row r="18" spans="29:33">
      <c r="AD18" s="91">
        <f>Wydatki!F14</f>
        <v>130090.5</v>
      </c>
      <c r="AE18" s="91">
        <f>Wydatki!G14</f>
        <v>4755.8500000000004</v>
      </c>
      <c r="AF18" s="91">
        <f>Wydatki!H14</f>
        <v>125334.65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455</v>
      </c>
      <c r="B1" s="86" t="s">
        <v>456</v>
      </c>
      <c r="C1" s="86" t="s">
        <v>457</v>
      </c>
      <c r="D1" s="55" t="s">
        <v>458</v>
      </c>
      <c r="E1" s="55" t="s">
        <v>1</v>
      </c>
      <c r="F1" s="55" t="s">
        <v>0</v>
      </c>
      <c r="G1" s="55" t="s">
        <v>2</v>
      </c>
      <c r="H1" s="37" t="s">
        <v>459</v>
      </c>
      <c r="I1" s="37" t="s">
        <v>460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461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461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461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461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461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461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461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461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461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461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461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461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461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461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461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461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461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461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461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461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461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461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461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461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461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461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461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461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461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461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461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461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461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461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461</v>
      </c>
      <c r="E36" s="47" t="s">
        <v>462</v>
      </c>
      <c r="F36" s="47" t="s">
        <v>463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461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461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461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461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461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461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461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461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461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461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461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461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461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461</v>
      </c>
      <c r="E50" s="47" t="s">
        <v>116</v>
      </c>
      <c r="F50" s="47" t="s">
        <v>115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461</v>
      </c>
      <c r="E51" s="47" t="s">
        <v>73</v>
      </c>
      <c r="F51" s="47" t="s">
        <v>118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461</v>
      </c>
      <c r="E52" s="47" t="s">
        <v>121</v>
      </c>
      <c r="F52" s="47" t="s">
        <v>120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461</v>
      </c>
      <c r="E53" s="47" t="s">
        <v>37</v>
      </c>
      <c r="F53" s="47" t="s">
        <v>123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461</v>
      </c>
      <c r="E54" s="47" t="s">
        <v>73</v>
      </c>
      <c r="F54" s="47" t="s">
        <v>124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461</v>
      </c>
      <c r="E55" s="47" t="s">
        <v>127</v>
      </c>
      <c r="F55" s="47" t="s">
        <v>126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461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461</v>
      </c>
      <c r="E57" s="47" t="s">
        <v>131</v>
      </c>
      <c r="F57" s="47" t="s">
        <v>130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461</v>
      </c>
      <c r="E58" s="47" t="s">
        <v>46</v>
      </c>
      <c r="F58" s="47" t="s">
        <v>133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461</v>
      </c>
      <c r="E59" s="47" t="s">
        <v>135</v>
      </c>
      <c r="F59" s="47" t="s">
        <v>134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461</v>
      </c>
      <c r="E60" s="47" t="s">
        <v>92</v>
      </c>
      <c r="F60" s="47" t="s">
        <v>136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461</v>
      </c>
      <c r="E61" s="47" t="s">
        <v>139</v>
      </c>
      <c r="F61" s="47" t="s">
        <v>138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461</v>
      </c>
      <c r="E62" s="47" t="s">
        <v>464</v>
      </c>
      <c r="F62" s="47" t="s">
        <v>465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461</v>
      </c>
      <c r="E63" s="47" t="s">
        <v>52</v>
      </c>
      <c r="F63" s="47" t="s">
        <v>144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461</v>
      </c>
      <c r="E64" s="47" t="s">
        <v>146</v>
      </c>
      <c r="F64" s="47" t="s">
        <v>145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461</v>
      </c>
      <c r="E65" s="47" t="s">
        <v>65</v>
      </c>
      <c r="F65" s="47" t="s">
        <v>148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461</v>
      </c>
      <c r="E66" s="47" t="s">
        <v>29</v>
      </c>
      <c r="F66" s="47" t="s">
        <v>149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461</v>
      </c>
      <c r="E67" s="47" t="s">
        <v>152</v>
      </c>
      <c r="F67" s="47" t="s">
        <v>151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461</v>
      </c>
      <c r="E68" s="47" t="s">
        <v>63</v>
      </c>
      <c r="F68" s="47" t="s">
        <v>153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461</v>
      </c>
      <c r="E69" s="47" t="s">
        <v>63</v>
      </c>
      <c r="F69" s="47" t="s">
        <v>154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461</v>
      </c>
      <c r="E70" s="47" t="s">
        <v>25</v>
      </c>
      <c r="F70" s="47" t="s">
        <v>156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461</v>
      </c>
      <c r="E71" s="47" t="s">
        <v>100</v>
      </c>
      <c r="F71" s="47" t="s">
        <v>157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461</v>
      </c>
      <c r="E72" s="47" t="s">
        <v>29</v>
      </c>
      <c r="F72" s="47" t="s">
        <v>158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461</v>
      </c>
      <c r="E73" s="47" t="s">
        <v>160</v>
      </c>
      <c r="F73" s="47" t="s">
        <v>159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461</v>
      </c>
      <c r="E74" s="47" t="s">
        <v>63</v>
      </c>
      <c r="F74" s="47" t="s">
        <v>161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461</v>
      </c>
      <c r="E75" s="47" t="s">
        <v>63</v>
      </c>
      <c r="F75" s="47" t="s">
        <v>162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461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461</v>
      </c>
      <c r="E77" s="47" t="s">
        <v>164</v>
      </c>
      <c r="F77" s="47" t="s">
        <v>163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461</v>
      </c>
      <c r="E78" s="47" t="s">
        <v>165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461</v>
      </c>
      <c r="E79" s="47" t="s">
        <v>167</v>
      </c>
      <c r="F79" s="47" t="s">
        <v>166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461</v>
      </c>
      <c r="E80" s="47" t="s">
        <v>169</v>
      </c>
      <c r="F80" s="47" t="s">
        <v>168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461</v>
      </c>
      <c r="E81" s="47" t="s">
        <v>172</v>
      </c>
      <c r="F81" s="47" t="s">
        <v>171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461</v>
      </c>
      <c r="E82" s="47" t="s">
        <v>59</v>
      </c>
      <c r="F82" s="47" t="s">
        <v>173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461</v>
      </c>
      <c r="E83" s="47" t="s">
        <v>65</v>
      </c>
      <c r="F83" s="47" t="s">
        <v>174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461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461</v>
      </c>
      <c r="E85" s="47" t="s">
        <v>177</v>
      </c>
      <c r="F85" s="47" t="s">
        <v>176</v>
      </c>
      <c r="G85" s="47" t="s">
        <v>178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461</v>
      </c>
      <c r="E86" s="49" t="s">
        <v>76</v>
      </c>
      <c r="F86" s="49" t="s">
        <v>179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461</v>
      </c>
      <c r="E87" s="51" t="s">
        <v>181</v>
      </c>
      <c r="F87" s="51" t="s">
        <v>180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461</v>
      </c>
      <c r="E88" s="49" t="s">
        <v>59</v>
      </c>
      <c r="F88" s="49" t="s">
        <v>182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461</v>
      </c>
      <c r="E89" s="51" t="s">
        <v>184</v>
      </c>
      <c r="F89" s="51" t="s">
        <v>183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461</v>
      </c>
      <c r="E90" s="49" t="s">
        <v>169</v>
      </c>
      <c r="F90" s="49" t="s">
        <v>185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461</v>
      </c>
      <c r="E91" s="49" t="s">
        <v>127</v>
      </c>
      <c r="F91" s="49" t="s">
        <v>186</v>
      </c>
      <c r="G91" s="49" t="s">
        <v>187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461</v>
      </c>
      <c r="E92" s="51" t="s">
        <v>59</v>
      </c>
      <c r="F92" s="51" t="s">
        <v>110</v>
      </c>
      <c r="G92" s="51" t="s">
        <v>187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461</v>
      </c>
      <c r="E93" s="49" t="s">
        <v>80</v>
      </c>
      <c r="F93" s="49" t="s">
        <v>188</v>
      </c>
      <c r="G93" s="49" t="s">
        <v>187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461</v>
      </c>
      <c r="E94" s="51" t="s">
        <v>42</v>
      </c>
      <c r="F94" s="51" t="s">
        <v>189</v>
      </c>
      <c r="G94" s="51" t="s">
        <v>187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461</v>
      </c>
      <c r="E95" s="49" t="s">
        <v>466</v>
      </c>
      <c r="F95" s="49" t="s">
        <v>467</v>
      </c>
      <c r="G95" s="49" t="s">
        <v>187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461</v>
      </c>
      <c r="E96" s="51" t="s">
        <v>191</v>
      </c>
      <c r="F96" s="51" t="s">
        <v>153</v>
      </c>
      <c r="G96" s="51" t="s">
        <v>187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461</v>
      </c>
      <c r="E97" s="51" t="s">
        <v>39</v>
      </c>
      <c r="F97" s="51" t="s">
        <v>192</v>
      </c>
      <c r="G97" s="51" t="s">
        <v>187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461</v>
      </c>
      <c r="E98" s="49" t="s">
        <v>194</v>
      </c>
      <c r="F98" s="49" t="s">
        <v>193</v>
      </c>
      <c r="G98" s="49" t="s">
        <v>187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461</v>
      </c>
      <c r="E99" s="51" t="s">
        <v>196</v>
      </c>
      <c r="F99" s="51" t="s">
        <v>195</v>
      </c>
      <c r="G99" s="51" t="s">
        <v>187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461</v>
      </c>
      <c r="E100" s="49" t="s">
        <v>198</v>
      </c>
      <c r="F100" s="49" t="s">
        <v>197</v>
      </c>
      <c r="G100" s="49" t="s">
        <v>187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461</v>
      </c>
      <c r="E101" s="51" t="s">
        <v>57</v>
      </c>
      <c r="F101" s="51" t="s">
        <v>199</v>
      </c>
      <c r="G101" s="51" t="s">
        <v>187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461</v>
      </c>
      <c r="E102" s="49" t="s">
        <v>201</v>
      </c>
      <c r="F102" s="49" t="s">
        <v>200</v>
      </c>
      <c r="G102" s="49" t="s">
        <v>187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461</v>
      </c>
      <c r="E103" s="51" t="s">
        <v>468</v>
      </c>
      <c r="F103" s="51" t="s">
        <v>469</v>
      </c>
      <c r="G103" s="51" t="s">
        <v>187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461</v>
      </c>
      <c r="E104" s="49" t="s">
        <v>205</v>
      </c>
      <c r="F104" s="49" t="s">
        <v>204</v>
      </c>
      <c r="G104" s="49" t="s">
        <v>187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461</v>
      </c>
      <c r="E105" s="49" t="s">
        <v>207</v>
      </c>
      <c r="F105" s="49" t="s">
        <v>206</v>
      </c>
      <c r="G105" s="49" t="s">
        <v>187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461</v>
      </c>
      <c r="E106" s="51" t="s">
        <v>31</v>
      </c>
      <c r="F106" s="51" t="s">
        <v>208</v>
      </c>
      <c r="G106" s="51" t="s">
        <v>187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461</v>
      </c>
      <c r="E107" s="49" t="s">
        <v>73</v>
      </c>
      <c r="F107" s="49" t="s">
        <v>209</v>
      </c>
      <c r="G107" s="49" t="s">
        <v>187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461</v>
      </c>
      <c r="E108" s="49" t="s">
        <v>211</v>
      </c>
      <c r="F108" s="49" t="s">
        <v>210</v>
      </c>
      <c r="G108" s="49" t="s">
        <v>187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461</v>
      </c>
      <c r="E109" s="51" t="s">
        <v>213</v>
      </c>
      <c r="F109" s="51" t="s">
        <v>212</v>
      </c>
      <c r="G109" s="51" t="s">
        <v>187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461</v>
      </c>
      <c r="E110" s="49" t="s">
        <v>215</v>
      </c>
      <c r="F110" s="49" t="s">
        <v>214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461</v>
      </c>
      <c r="E111" s="51" t="s">
        <v>63</v>
      </c>
      <c r="F111" s="51" t="s">
        <v>216</v>
      </c>
      <c r="G111" s="51" t="s">
        <v>187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461</v>
      </c>
      <c r="E112" s="49" t="s">
        <v>218</v>
      </c>
      <c r="F112" s="49" t="s">
        <v>217</v>
      </c>
      <c r="G112" s="49" t="s">
        <v>187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461</v>
      </c>
      <c r="E113" s="51" t="s">
        <v>135</v>
      </c>
      <c r="F113" s="51" t="s">
        <v>179</v>
      </c>
      <c r="G113" s="51" t="s">
        <v>187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461</v>
      </c>
      <c r="E114" s="49" t="s">
        <v>220</v>
      </c>
      <c r="F114" s="49" t="s">
        <v>219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461</v>
      </c>
      <c r="E115" s="51" t="s">
        <v>222</v>
      </c>
      <c r="F115" s="51" t="s">
        <v>221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461</v>
      </c>
      <c r="E116" s="49" t="s">
        <v>44</v>
      </c>
      <c r="F116" s="49" t="s">
        <v>223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461</v>
      </c>
      <c r="E117" s="51" t="s">
        <v>225</v>
      </c>
      <c r="F117" s="51" t="s">
        <v>224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461</v>
      </c>
      <c r="E118" s="49" t="s">
        <v>227</v>
      </c>
      <c r="F118" s="49" t="s">
        <v>226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461</v>
      </c>
      <c r="E119" s="51" t="s">
        <v>73</v>
      </c>
      <c r="F119" s="51" t="s">
        <v>228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461</v>
      </c>
      <c r="E120" s="49" t="s">
        <v>205</v>
      </c>
      <c r="F120" s="49" t="s">
        <v>229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461</v>
      </c>
      <c r="E121" s="51" t="s">
        <v>57</v>
      </c>
      <c r="F121" s="51" t="s">
        <v>231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461</v>
      </c>
      <c r="E122" s="49" t="s">
        <v>46</v>
      </c>
      <c r="F122" s="49" t="s">
        <v>148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461</v>
      </c>
      <c r="E123" s="49" t="s">
        <v>59</v>
      </c>
      <c r="F123" s="49" t="s">
        <v>233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461</v>
      </c>
      <c r="E124" s="51" t="s">
        <v>131</v>
      </c>
      <c r="F124" s="51" t="s">
        <v>234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461</v>
      </c>
      <c r="E125" s="49" t="s">
        <v>177</v>
      </c>
      <c r="F125" s="49" t="s">
        <v>235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461</v>
      </c>
      <c r="E126" s="51" t="s">
        <v>191</v>
      </c>
      <c r="F126" s="51" t="s">
        <v>236</v>
      </c>
      <c r="G126" s="51" t="s">
        <v>187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461</v>
      </c>
      <c r="E127" s="51" t="s">
        <v>83</v>
      </c>
      <c r="F127" s="51" t="s">
        <v>237</v>
      </c>
      <c r="G127" s="51" t="s">
        <v>178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461</v>
      </c>
      <c r="E128" s="51" t="s">
        <v>63</v>
      </c>
      <c r="F128" s="51" t="s">
        <v>238</v>
      </c>
      <c r="G128" s="51" t="s">
        <v>187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461</v>
      </c>
      <c r="E129" s="49" t="s">
        <v>73</v>
      </c>
      <c r="F129" s="49" t="s">
        <v>239</v>
      </c>
      <c r="G129" s="49" t="s">
        <v>187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461</v>
      </c>
      <c r="E130" s="53" t="s">
        <v>73</v>
      </c>
      <c r="F130" s="53" t="s">
        <v>34</v>
      </c>
      <c r="G130" s="53" t="s">
        <v>187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461</v>
      </c>
      <c r="E131" s="53" t="s">
        <v>46</v>
      </c>
      <c r="F131" s="53" t="s">
        <v>240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461</v>
      </c>
      <c r="E132" s="53" t="s">
        <v>37</v>
      </c>
      <c r="F132" s="53" t="s">
        <v>241</v>
      </c>
      <c r="G132" s="53" t="s">
        <v>178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461</v>
      </c>
      <c r="E133" s="53" t="s">
        <v>243</v>
      </c>
      <c r="F133" s="53" t="s">
        <v>242</v>
      </c>
      <c r="G133" s="53" t="s">
        <v>178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461</v>
      </c>
      <c r="E134" s="53" t="s">
        <v>46</v>
      </c>
      <c r="F134" s="53" t="s">
        <v>244</v>
      </c>
      <c r="G134" s="53" t="s">
        <v>178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461</v>
      </c>
      <c r="E135" s="53" t="s">
        <v>29</v>
      </c>
      <c r="F135" s="53" t="s">
        <v>245</v>
      </c>
      <c r="G135" s="53" t="s">
        <v>178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461</v>
      </c>
      <c r="E136" s="53" t="s">
        <v>65</v>
      </c>
      <c r="F136" s="53" t="s">
        <v>173</v>
      </c>
      <c r="G136" s="53" t="s">
        <v>178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461</v>
      </c>
      <c r="E137" s="53" t="s">
        <v>247</v>
      </c>
      <c r="F137" s="53" t="s">
        <v>246</v>
      </c>
      <c r="G137" s="53" t="s">
        <v>178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461</v>
      </c>
      <c r="E138" s="53" t="s">
        <v>63</v>
      </c>
      <c r="F138" s="53" t="s">
        <v>248</v>
      </c>
      <c r="G138" s="53" t="s">
        <v>178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461</v>
      </c>
      <c r="E139" s="53" t="s">
        <v>59</v>
      </c>
      <c r="F139" s="53" t="s">
        <v>249</v>
      </c>
      <c r="G139" s="53" t="s">
        <v>178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461</v>
      </c>
      <c r="E140" s="53" t="s">
        <v>78</v>
      </c>
      <c r="F140" s="53" t="s">
        <v>250</v>
      </c>
      <c r="G140" s="53" t="s">
        <v>178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461</v>
      </c>
      <c r="E141" s="53" t="s">
        <v>73</v>
      </c>
      <c r="F141" s="53" t="s">
        <v>251</v>
      </c>
      <c r="G141" s="53" t="s">
        <v>178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461</v>
      </c>
      <c r="E142" s="53" t="s">
        <v>35</v>
      </c>
      <c r="F142" s="53" t="s">
        <v>252</v>
      </c>
      <c r="G142" s="53" t="s">
        <v>178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461</v>
      </c>
      <c r="E143" s="53" t="s">
        <v>31</v>
      </c>
      <c r="F143" s="53" t="s">
        <v>253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461</v>
      </c>
      <c r="E144" s="53" t="s">
        <v>73</v>
      </c>
      <c r="F144" s="53" t="s">
        <v>254</v>
      </c>
      <c r="G144" s="53" t="s">
        <v>178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461</v>
      </c>
      <c r="E145" s="53" t="s">
        <v>256</v>
      </c>
      <c r="F145" s="53" t="s">
        <v>255</v>
      </c>
      <c r="G145" s="53" t="s">
        <v>178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461</v>
      </c>
      <c r="E146" s="53" t="s">
        <v>73</v>
      </c>
      <c r="F146" s="53" t="s">
        <v>257</v>
      </c>
      <c r="G146" s="53" t="s">
        <v>178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461</v>
      </c>
      <c r="E147" s="53" t="s">
        <v>35</v>
      </c>
      <c r="F147" s="53" t="s">
        <v>258</v>
      </c>
      <c r="G147" s="53" t="s">
        <v>178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461</v>
      </c>
      <c r="E148" s="53" t="s">
        <v>172</v>
      </c>
      <c r="F148" s="53" t="s">
        <v>72</v>
      </c>
      <c r="G148" s="53" t="s">
        <v>187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461</v>
      </c>
      <c r="E149" s="53" t="s">
        <v>29</v>
      </c>
      <c r="F149" s="53" t="s">
        <v>259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461</v>
      </c>
      <c r="E150" s="53" t="s">
        <v>261</v>
      </c>
      <c r="F150" s="53" t="s">
        <v>260</v>
      </c>
      <c r="G150" s="53" t="s">
        <v>178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461</v>
      </c>
      <c r="E151" s="53" t="s">
        <v>262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461</v>
      </c>
      <c r="E152" s="53" t="s">
        <v>263</v>
      </c>
      <c r="F152" s="53" t="s">
        <v>159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461</v>
      </c>
      <c r="E153" s="53" t="s">
        <v>265</v>
      </c>
      <c r="F153" s="53" t="s">
        <v>264</v>
      </c>
      <c r="G153" s="53" t="s">
        <v>178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461</v>
      </c>
      <c r="E154" s="53" t="s">
        <v>172</v>
      </c>
      <c r="F154" s="53" t="s">
        <v>266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461</v>
      </c>
      <c r="E155" s="53" t="s">
        <v>470</v>
      </c>
      <c r="F155" s="53" t="s">
        <v>195</v>
      </c>
      <c r="G155" s="53" t="s">
        <v>187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461</v>
      </c>
      <c r="E156" s="53" t="s">
        <v>67</v>
      </c>
      <c r="F156" s="53" t="s">
        <v>268</v>
      </c>
      <c r="G156" s="53" t="s">
        <v>178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461</v>
      </c>
      <c r="E157" s="53" t="s">
        <v>29</v>
      </c>
      <c r="F157" s="53" t="s">
        <v>269</v>
      </c>
      <c r="G157" s="53" t="s">
        <v>178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461</v>
      </c>
      <c r="E158" s="53" t="s">
        <v>271</v>
      </c>
      <c r="F158" s="53" t="s">
        <v>270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461</v>
      </c>
      <c r="E159" s="53" t="s">
        <v>80</v>
      </c>
      <c r="F159" s="53" t="s">
        <v>272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461</v>
      </c>
      <c r="E160" s="53" t="s">
        <v>37</v>
      </c>
      <c r="F160" s="53" t="s">
        <v>153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461</v>
      </c>
      <c r="E161" s="53" t="s">
        <v>225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461</v>
      </c>
      <c r="E162" s="53" t="s">
        <v>73</v>
      </c>
      <c r="F162" s="53" t="s">
        <v>273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461</v>
      </c>
      <c r="E163" s="53" t="s">
        <v>44</v>
      </c>
      <c r="F163" s="53" t="s">
        <v>274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461</v>
      </c>
      <c r="E164" s="53" t="s">
        <v>29</v>
      </c>
      <c r="F164" s="53" t="s">
        <v>276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461</v>
      </c>
      <c r="E165" s="53" t="s">
        <v>278</v>
      </c>
      <c r="F165" s="53" t="s">
        <v>277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461</v>
      </c>
      <c r="E166" s="53" t="s">
        <v>73</v>
      </c>
      <c r="F166" s="53" t="s">
        <v>279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461</v>
      </c>
      <c r="E167" s="53" t="s">
        <v>39</v>
      </c>
      <c r="F167" s="53" t="s">
        <v>280</v>
      </c>
      <c r="G167" s="53" t="s">
        <v>187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461</v>
      </c>
      <c r="E168" s="53" t="s">
        <v>63</v>
      </c>
      <c r="F168" s="53" t="s">
        <v>281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461</v>
      </c>
      <c r="E169" s="53" t="s">
        <v>283</v>
      </c>
      <c r="F169" s="53" t="s">
        <v>282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461</v>
      </c>
      <c r="E170" s="53" t="s">
        <v>285</v>
      </c>
      <c r="F170" s="53" t="s">
        <v>284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461</v>
      </c>
      <c r="E171" s="53" t="s">
        <v>57</v>
      </c>
      <c r="F171" s="53" t="s">
        <v>287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461</v>
      </c>
      <c r="E172" s="53" t="s">
        <v>289</v>
      </c>
      <c r="F172" s="53" t="s">
        <v>288</v>
      </c>
      <c r="G172" s="53" t="s">
        <v>178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461</v>
      </c>
      <c r="E173" s="53" t="s">
        <v>225</v>
      </c>
      <c r="F173" s="53" t="s">
        <v>290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461</v>
      </c>
      <c r="E174" s="53" t="s">
        <v>107</v>
      </c>
      <c r="F174" s="53" t="s">
        <v>291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461</v>
      </c>
      <c r="E175" s="53" t="s">
        <v>107</v>
      </c>
      <c r="F175" s="53" t="s">
        <v>292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461</v>
      </c>
      <c r="E176" s="53" t="s">
        <v>294</v>
      </c>
      <c r="F176" s="53" t="s">
        <v>293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461</v>
      </c>
      <c r="E177" s="53" t="s">
        <v>65</v>
      </c>
      <c r="F177" s="53" t="s">
        <v>259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461</v>
      </c>
      <c r="E178" s="53" t="s">
        <v>78</v>
      </c>
      <c r="F178" s="53" t="s">
        <v>295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461</v>
      </c>
      <c r="E179" s="53" t="s">
        <v>297</v>
      </c>
      <c r="F179" s="53" t="s">
        <v>296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461</v>
      </c>
      <c r="E180" s="53" t="s">
        <v>298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461</v>
      </c>
      <c r="E181" s="53" t="s">
        <v>46</v>
      </c>
      <c r="F181" s="53" t="s">
        <v>299</v>
      </c>
      <c r="G181" s="53" t="s">
        <v>178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461</v>
      </c>
      <c r="E182" s="53" t="s">
        <v>301</v>
      </c>
      <c r="F182" s="53" t="s">
        <v>300</v>
      </c>
      <c r="G182" s="53" t="s">
        <v>178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461</v>
      </c>
      <c r="E183" s="53" t="s">
        <v>35</v>
      </c>
      <c r="F183" s="53" t="s">
        <v>302</v>
      </c>
      <c r="G183" s="53" t="s">
        <v>178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461</v>
      </c>
      <c r="E184" s="53" t="s">
        <v>52</v>
      </c>
      <c r="F184" s="53" t="s">
        <v>303</v>
      </c>
      <c r="G184" s="53" t="s">
        <v>178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461</v>
      </c>
      <c r="E185" s="53" t="s">
        <v>304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461</v>
      </c>
      <c r="E186" s="53" t="s">
        <v>73</v>
      </c>
      <c r="F186" s="53" t="s">
        <v>305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461</v>
      </c>
      <c r="E187" s="53" t="s">
        <v>307</v>
      </c>
      <c r="F187" s="53" t="s">
        <v>306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461</v>
      </c>
      <c r="E188" s="53" t="s">
        <v>35</v>
      </c>
      <c r="F188" s="53" t="s">
        <v>308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461</v>
      </c>
      <c r="E189" s="53" t="s">
        <v>46</v>
      </c>
      <c r="F189" s="53" t="s">
        <v>309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461</v>
      </c>
      <c r="E190" s="53" t="s">
        <v>222</v>
      </c>
      <c r="F190" s="53" t="s">
        <v>310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461</v>
      </c>
      <c r="E191" s="53" t="s">
        <v>52</v>
      </c>
      <c r="F191" s="53" t="s">
        <v>311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461</v>
      </c>
      <c r="E192" s="53" t="s">
        <v>261</v>
      </c>
      <c r="F192" s="53" t="s">
        <v>312</v>
      </c>
      <c r="G192" s="53" t="s">
        <v>178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461</v>
      </c>
      <c r="E193" s="53" t="s">
        <v>314</v>
      </c>
      <c r="F193" s="53" t="s">
        <v>313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461</v>
      </c>
      <c r="E194" s="53" t="s">
        <v>471</v>
      </c>
      <c r="F194" s="53" t="s">
        <v>472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461</v>
      </c>
      <c r="E195" s="53" t="s">
        <v>73</v>
      </c>
      <c r="F195" s="53" t="s">
        <v>317</v>
      </c>
      <c r="G195" s="53" t="s">
        <v>178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461</v>
      </c>
      <c r="E196" s="53" t="s">
        <v>314</v>
      </c>
      <c r="F196" s="53" t="s">
        <v>318</v>
      </c>
      <c r="G196" s="53" t="s">
        <v>178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461</v>
      </c>
      <c r="E197" s="53" t="s">
        <v>67</v>
      </c>
      <c r="F197" s="53" t="s">
        <v>319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461</v>
      </c>
      <c r="E198" s="53" t="s">
        <v>321</v>
      </c>
      <c r="F198" s="53" t="s">
        <v>320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461</v>
      </c>
      <c r="E199" s="53" t="s">
        <v>323</v>
      </c>
      <c r="F199" s="53" t="s">
        <v>322</v>
      </c>
      <c r="G199" s="53" t="s">
        <v>178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461</v>
      </c>
      <c r="E200" s="53" t="s">
        <v>78</v>
      </c>
      <c r="F200" s="53" t="s">
        <v>56</v>
      </c>
      <c r="G200" s="53" t="s">
        <v>178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461</v>
      </c>
      <c r="E201" s="53" t="s">
        <v>304</v>
      </c>
      <c r="F201" s="53" t="s">
        <v>324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461</v>
      </c>
      <c r="E202" s="53" t="s">
        <v>314</v>
      </c>
      <c r="F202" s="53" t="s">
        <v>325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461</v>
      </c>
      <c r="E203" s="53" t="s">
        <v>327</v>
      </c>
      <c r="F203" s="53" t="s">
        <v>326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461</v>
      </c>
      <c r="E204" s="53" t="s">
        <v>243</v>
      </c>
      <c r="F204" s="53" t="s">
        <v>328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461</v>
      </c>
      <c r="E205" s="53" t="s">
        <v>127</v>
      </c>
      <c r="F205" s="53" t="s">
        <v>329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461</v>
      </c>
      <c r="E206" s="53" t="s">
        <v>78</v>
      </c>
      <c r="F206" s="53" t="s">
        <v>330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461</v>
      </c>
      <c r="E207" s="53" t="s">
        <v>78</v>
      </c>
      <c r="F207" s="53" t="s">
        <v>331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461</v>
      </c>
      <c r="E208" s="53" t="s">
        <v>333</v>
      </c>
      <c r="F208" s="53" t="s">
        <v>332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461</v>
      </c>
      <c r="E209" s="53" t="s">
        <v>35</v>
      </c>
      <c r="F209" s="53" t="s">
        <v>335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461</v>
      </c>
      <c r="E210" s="53" t="s">
        <v>337</v>
      </c>
      <c r="F210" s="53" t="s">
        <v>336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461</v>
      </c>
      <c r="E211" s="53" t="s">
        <v>78</v>
      </c>
      <c r="F211" s="53" t="s">
        <v>338</v>
      </c>
      <c r="G211" s="53" t="s">
        <v>178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461</v>
      </c>
      <c r="E212" s="53" t="s">
        <v>78</v>
      </c>
      <c r="F212" s="53" t="s">
        <v>339</v>
      </c>
      <c r="G212" s="53" t="s">
        <v>178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461</v>
      </c>
      <c r="E213" s="53" t="s">
        <v>222</v>
      </c>
      <c r="F213" s="53" t="s">
        <v>340</v>
      </c>
      <c r="G213" s="53" t="s">
        <v>178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461</v>
      </c>
      <c r="E214" s="53" t="s">
        <v>57</v>
      </c>
      <c r="F214" s="53" t="s">
        <v>341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461</v>
      </c>
      <c r="E215" s="53" t="s">
        <v>31</v>
      </c>
      <c r="F215" s="53" t="s">
        <v>342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461</v>
      </c>
      <c r="E216" s="53" t="s">
        <v>80</v>
      </c>
      <c r="F216" s="53" t="s">
        <v>343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461</v>
      </c>
      <c r="E217" s="53" t="s">
        <v>78</v>
      </c>
      <c r="F217" s="53" t="s">
        <v>233</v>
      </c>
      <c r="G217" s="53" t="s">
        <v>187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461</v>
      </c>
      <c r="E218" s="53" t="s">
        <v>52</v>
      </c>
      <c r="F218" s="53" t="s">
        <v>344</v>
      </c>
      <c r="G218" s="53" t="s">
        <v>187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461</v>
      </c>
      <c r="E219" s="53" t="s">
        <v>346</v>
      </c>
      <c r="F219" s="53" t="s">
        <v>345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461</v>
      </c>
      <c r="E220" s="53" t="s">
        <v>167</v>
      </c>
      <c r="F220" s="53" t="s">
        <v>347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461</v>
      </c>
      <c r="E221" s="53" t="s">
        <v>100</v>
      </c>
      <c r="F221" s="53" t="s">
        <v>348</v>
      </c>
      <c r="G221" s="53" t="s">
        <v>178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461</v>
      </c>
      <c r="E222" s="53" t="s">
        <v>349</v>
      </c>
      <c r="F222" s="53" t="s">
        <v>292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461</v>
      </c>
      <c r="E223" s="53" t="s">
        <v>225</v>
      </c>
      <c r="F223" s="53" t="s">
        <v>350</v>
      </c>
      <c r="G223" s="53" t="s">
        <v>187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461</v>
      </c>
      <c r="E224" s="53" t="s">
        <v>352</v>
      </c>
      <c r="F224" s="53" t="s">
        <v>351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461</v>
      </c>
      <c r="E225" s="53" t="s">
        <v>57</v>
      </c>
      <c r="F225" s="53" t="s">
        <v>473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461</v>
      </c>
      <c r="E226" s="53" t="s">
        <v>59</v>
      </c>
      <c r="F226" s="53" t="s">
        <v>474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461</v>
      </c>
      <c r="E227" s="53" t="s">
        <v>475</v>
      </c>
      <c r="F227" s="53" t="s">
        <v>476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461</v>
      </c>
      <c r="E228" s="53" t="s">
        <v>222</v>
      </c>
      <c r="F228" s="53" t="s">
        <v>477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461</v>
      </c>
      <c r="E229" s="53" t="s">
        <v>478</v>
      </c>
      <c r="F229" s="53" t="s">
        <v>479</v>
      </c>
      <c r="G229" s="53" t="s">
        <v>187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461</v>
      </c>
      <c r="E230" s="53" t="s">
        <v>73</v>
      </c>
      <c r="F230" s="53" t="s">
        <v>480</v>
      </c>
      <c r="G230" s="53" t="s">
        <v>187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461</v>
      </c>
      <c r="E231" s="53" t="s">
        <v>352</v>
      </c>
      <c r="F231" s="53" t="s">
        <v>481</v>
      </c>
      <c r="G231" s="53" t="s">
        <v>187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461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461</v>
      </c>
      <c r="E233" s="53" t="s">
        <v>78</v>
      </c>
      <c r="F233" s="53" t="s">
        <v>330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461</v>
      </c>
      <c r="E234" s="53" t="s">
        <v>167</v>
      </c>
      <c r="F234" s="53" t="s">
        <v>482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2026-04-12T14:26:33Z</dcterms:created>
  <dcterms:modified xsi:type="dcterms:W3CDTF">2026-10-14T05:47:43Z</dcterms:modified>
  <cp:category/>
  <cp:contentStatus/>
</cp:coreProperties>
</file>