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featurePropertyBag/featurePropertyBag.xml" ContentType="application/vnd.ms-excel.featurepropertybag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0"/>
  <workbookPr updateLinks="always" defaultThemeVersion="166925"/>
  <xr:revisionPtr revIDLastSave="0" documentId="8_{48852396-9B25-4163-999F-D280AD919AB2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Lista uczniów_składki" sheetId="1" r:id="rId1"/>
    <sheet name="Sheet1" sheetId="10" r:id="rId2"/>
    <sheet name="Wydatki" sheetId="2" r:id="rId3"/>
    <sheet name="Podsumowanie" sheetId="3" r:id="rId4"/>
    <sheet name="Do wiadomości rodziców" sheetId="6" r:id="rId5"/>
    <sheet name="Zadania" sheetId="8" r:id="rId6"/>
    <sheet name="Notes" sheetId="7" state="hidden" r:id="rId7"/>
    <sheet name="Dashboard" sheetId="9" r:id="rId8"/>
    <sheet name="Ankieta#1_13.04.26" sheetId="5" r:id="rId9"/>
  </sheets>
  <definedNames>
    <definedName name="_xlnm._FilterDatabase" localSheetId="8" hidden="1">'Ankieta#1_13.04.26'!$K$1:$M$168</definedName>
    <definedName name="_xlnm._FilterDatabase" localSheetId="0" hidden="1">'Lista uczniów_składki'!$Z$2:$AA$2</definedName>
    <definedName name="Fragmentator_Status">#N/A</definedName>
    <definedName name="Slicer_Klasa">#N/A</definedName>
  </definedNames>
  <calcPr calcId="191028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10"/>
        <x14:slicerCache r:id="rId11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" i="2" l="1"/>
  <c r="AE18" i="9"/>
  <c r="AN7" i="9"/>
  <c r="AN8" i="9"/>
  <c r="AN9" i="9"/>
  <c r="AN10" i="9"/>
  <c r="AN11" i="9"/>
  <c r="AN12" i="9"/>
  <c r="AN13" i="9"/>
  <c r="AE8" i="9"/>
  <c r="AG8" i="9"/>
  <c r="AE9" i="9"/>
  <c r="AG9" i="9"/>
  <c r="AE10" i="9"/>
  <c r="AG10" i="9"/>
  <c r="AE11" i="9"/>
  <c r="AG11" i="9"/>
  <c r="AE12" i="9"/>
  <c r="AG12" i="9"/>
  <c r="AE13" i="9"/>
  <c r="AG13" i="9"/>
  <c r="AE14" i="9"/>
  <c r="AG14" i="9"/>
  <c r="AE15" i="9"/>
  <c r="AG15" i="9"/>
  <c r="AE16" i="9"/>
  <c r="AG16" i="9"/>
  <c r="AE17" i="9"/>
  <c r="AG17" i="9"/>
  <c r="AE7" i="9"/>
  <c r="AG7" i="9"/>
  <c r="AC8" i="9"/>
  <c r="AC9" i="9"/>
  <c r="AC10" i="9"/>
  <c r="AC11" i="9"/>
  <c r="AC12" i="9"/>
  <c r="AC13" i="9"/>
  <c r="AC14" i="9"/>
  <c r="AC15" i="9"/>
  <c r="AC16" i="9"/>
  <c r="AC17" i="9"/>
  <c r="AC7" i="9"/>
  <c r="X11" i="9"/>
  <c r="X10" i="9"/>
  <c r="X9" i="9"/>
  <c r="P9" i="9"/>
  <c r="P10" i="9"/>
  <c r="P11" i="9"/>
  <c r="P12" i="9"/>
  <c r="P13" i="9"/>
  <c r="P14" i="9"/>
  <c r="P15" i="9"/>
  <c r="P16" i="9"/>
  <c r="P7" i="9"/>
  <c r="H8" i="9"/>
  <c r="H9" i="9"/>
  <c r="H10" i="9"/>
  <c r="H11" i="9"/>
  <c r="H12" i="9"/>
  <c r="H13" i="9"/>
  <c r="H14" i="9"/>
  <c r="A9" i="9"/>
  <c r="B8" i="9"/>
  <c r="A8" i="9"/>
  <c r="F44" i="6"/>
  <c r="F48" i="6"/>
  <c r="F47" i="6"/>
  <c r="F46" i="6"/>
  <c r="T104" i="1"/>
  <c r="U104" i="1"/>
  <c r="V104" i="1"/>
  <c r="W104" i="1"/>
  <c r="Z104" i="1"/>
  <c r="F4" i="2"/>
  <c r="AD8" i="9" s="1"/>
  <c r="F5" i="2"/>
  <c r="AD9" i="9" s="1"/>
  <c r="F6" i="2"/>
  <c r="AD10" i="9" s="1"/>
  <c r="F7" i="2"/>
  <c r="AD11" i="9" s="1"/>
  <c r="F8" i="2"/>
  <c r="AD12" i="9" s="1"/>
  <c r="F9" i="2"/>
  <c r="AD13" i="9" s="1"/>
  <c r="F11" i="2"/>
  <c r="AD15" i="9" s="1"/>
  <c r="F12" i="2"/>
  <c r="AD16" i="9" s="1"/>
  <c r="U5" i="1"/>
  <c r="U10" i="1"/>
  <c r="U13" i="1"/>
  <c r="U17" i="1"/>
  <c r="U18" i="1"/>
  <c r="U21" i="1"/>
  <c r="U26" i="1"/>
  <c r="U28" i="1"/>
  <c r="U29" i="1"/>
  <c r="U31" i="1"/>
  <c r="U37" i="1"/>
  <c r="U44" i="1"/>
  <c r="U45" i="1"/>
  <c r="U54" i="1"/>
  <c r="U71" i="1"/>
  <c r="U74" i="1"/>
  <c r="U76" i="1"/>
  <c r="U80" i="1"/>
  <c r="U82" i="1"/>
  <c r="U87" i="1"/>
  <c r="U88" i="1"/>
  <c r="U106" i="1"/>
  <c r="U110" i="1"/>
  <c r="U112" i="1"/>
  <c r="U113" i="1"/>
  <c r="U116" i="1"/>
  <c r="U117" i="1"/>
  <c r="U121" i="1"/>
  <c r="U125" i="1"/>
  <c r="U131" i="1"/>
  <c r="U132" i="1"/>
  <c r="U143" i="1"/>
  <c r="U149" i="1"/>
  <c r="U150" i="1"/>
  <c r="U152" i="1"/>
  <c r="U153" i="1"/>
  <c r="U157" i="1"/>
  <c r="U158" i="1"/>
  <c r="U159" i="1"/>
  <c r="U160" i="1"/>
  <c r="U161" i="1"/>
  <c r="U164" i="1"/>
  <c r="U165" i="1"/>
  <c r="U167" i="1"/>
  <c r="U169" i="1"/>
  <c r="U170" i="1"/>
  <c r="U174" i="1"/>
  <c r="U175" i="1"/>
  <c r="U177" i="1"/>
  <c r="U180" i="1"/>
  <c r="U181" i="1"/>
  <c r="U182" i="1"/>
  <c r="U183" i="1"/>
  <c r="U185" i="1"/>
  <c r="U186" i="1"/>
  <c r="U189" i="1"/>
  <c r="U192" i="1"/>
  <c r="U194" i="1"/>
  <c r="U202" i="1"/>
  <c r="U204" i="1"/>
  <c r="U205" i="1"/>
  <c r="U206" i="1"/>
  <c r="U207" i="1"/>
  <c r="U210" i="1"/>
  <c r="U211" i="1"/>
  <c r="U216" i="1"/>
  <c r="U217" i="1"/>
  <c r="U218" i="1"/>
  <c r="U219" i="1"/>
  <c r="U221" i="1"/>
  <c r="U225" i="1"/>
  <c r="D27" i="6"/>
  <c r="B20" i="3"/>
  <c r="B9" i="9" s="1"/>
  <c r="H1" i="1"/>
  <c r="I1" i="1"/>
  <c r="J1" i="1"/>
  <c r="K1" i="1"/>
  <c r="L1" i="1"/>
  <c r="M1" i="1"/>
  <c r="N1" i="1"/>
  <c r="O1" i="1"/>
  <c r="P1" i="1"/>
  <c r="Q1" i="1"/>
  <c r="R1" i="1"/>
  <c r="S1" i="1"/>
  <c r="G1" i="1"/>
  <c r="D5" i="6"/>
  <c r="T231" i="1"/>
  <c r="T232" i="1"/>
  <c r="T233" i="1"/>
  <c r="T234" i="1"/>
  <c r="T235" i="1"/>
  <c r="K223" i="5"/>
  <c r="K224" i="5"/>
  <c r="B226" i="1"/>
  <c r="A226" i="1"/>
  <c r="C226" i="1"/>
  <c r="D226" i="1"/>
  <c r="E226" i="1"/>
  <c r="K225" i="5"/>
  <c r="B227" i="1"/>
  <c r="A227" i="1"/>
  <c r="C227" i="1"/>
  <c r="D227" i="1"/>
  <c r="E227" i="1"/>
  <c r="K226" i="5"/>
  <c r="B228" i="1"/>
  <c r="A228" i="1"/>
  <c r="C228" i="1"/>
  <c r="D228" i="1"/>
  <c r="E228" i="1"/>
  <c r="K227" i="5"/>
  <c r="B229" i="1"/>
  <c r="A229" i="1"/>
  <c r="C229" i="1"/>
  <c r="D229" i="1"/>
  <c r="E229" i="1"/>
  <c r="K228" i="5"/>
  <c r="B230" i="1"/>
  <c r="A230" i="1"/>
  <c r="C230" i="1"/>
  <c r="D230" i="1"/>
  <c r="E230" i="1"/>
  <c r="K229" i="5"/>
  <c r="B231" i="1"/>
  <c r="A231" i="1"/>
  <c r="C231" i="1"/>
  <c r="D231" i="1"/>
  <c r="E231" i="1"/>
  <c r="K230" i="5"/>
  <c r="B232" i="1"/>
  <c r="A232" i="1"/>
  <c r="C232" i="1"/>
  <c r="D232" i="1"/>
  <c r="E232" i="1"/>
  <c r="K231" i="5"/>
  <c r="B233" i="1"/>
  <c r="A233" i="1"/>
  <c r="C233" i="1"/>
  <c r="D233" i="1"/>
  <c r="E233" i="1"/>
  <c r="K232" i="5"/>
  <c r="B234" i="1"/>
  <c r="A234" i="1"/>
  <c r="C234" i="1"/>
  <c r="D234" i="1"/>
  <c r="E234" i="1"/>
  <c r="K233" i="5"/>
  <c r="B235" i="1"/>
  <c r="A235" i="1"/>
  <c r="C235" i="1"/>
  <c r="D235" i="1"/>
  <c r="E235" i="1"/>
  <c r="K234" i="5"/>
  <c r="K217" i="5"/>
  <c r="K222" i="5"/>
  <c r="K139" i="5"/>
  <c r="K142" i="5"/>
  <c r="Z180" i="1"/>
  <c r="Z181" i="1"/>
  <c r="Z182" i="1"/>
  <c r="Z183" i="1"/>
  <c r="Z184" i="1"/>
  <c r="Z185" i="1"/>
  <c r="Z186" i="1"/>
  <c r="Z187" i="1"/>
  <c r="Z188" i="1"/>
  <c r="Z189" i="1"/>
  <c r="Z190" i="1"/>
  <c r="Z191" i="1"/>
  <c r="Z192" i="1"/>
  <c r="Z193" i="1"/>
  <c r="Z194" i="1"/>
  <c r="Z195" i="1"/>
  <c r="Z196" i="1"/>
  <c r="Z197" i="1"/>
  <c r="Z198" i="1"/>
  <c r="Z199" i="1"/>
  <c r="Z200" i="1"/>
  <c r="Z201" i="1"/>
  <c r="Z202" i="1"/>
  <c r="Z203" i="1"/>
  <c r="Z204" i="1"/>
  <c r="Z205" i="1"/>
  <c r="K161" i="5"/>
  <c r="K162" i="5"/>
  <c r="K163" i="5"/>
  <c r="K164" i="5"/>
  <c r="K165" i="5"/>
  <c r="K166" i="5"/>
  <c r="K167" i="5"/>
  <c r="K168" i="5"/>
  <c r="K169" i="5"/>
  <c r="K170" i="5"/>
  <c r="K171" i="5"/>
  <c r="K153" i="5"/>
  <c r="T202" i="1"/>
  <c r="T203" i="1"/>
  <c r="T204" i="1"/>
  <c r="T205" i="1"/>
  <c r="T206" i="1"/>
  <c r="T207" i="1"/>
  <c r="T208" i="1"/>
  <c r="T209" i="1"/>
  <c r="T210" i="1"/>
  <c r="T211" i="1"/>
  <c r="T212" i="1"/>
  <c r="T213" i="1"/>
  <c r="T214" i="1"/>
  <c r="T215" i="1"/>
  <c r="T216" i="1"/>
  <c r="T217" i="1"/>
  <c r="T218" i="1"/>
  <c r="T219" i="1"/>
  <c r="T220" i="1"/>
  <c r="T221" i="1"/>
  <c r="T222" i="1"/>
  <c r="T223" i="1"/>
  <c r="T224" i="1"/>
  <c r="T225" i="1"/>
  <c r="T226" i="1"/>
  <c r="T227" i="1"/>
  <c r="T228" i="1"/>
  <c r="T229" i="1"/>
  <c r="T230" i="1"/>
  <c r="A3" i="5"/>
  <c r="A4" i="5"/>
  <c r="A5" i="5"/>
  <c r="A6" i="5"/>
  <c r="A7" i="5"/>
  <c r="A8" i="5"/>
  <c r="A9" i="5"/>
  <c r="A10" i="5"/>
  <c r="A11" i="5"/>
  <c r="A12" i="5"/>
  <c r="A13" i="5"/>
  <c r="A14" i="5"/>
  <c r="A15" i="5"/>
  <c r="A16" i="5"/>
  <c r="A17" i="5"/>
  <c r="A18" i="5"/>
  <c r="A19" i="5"/>
  <c r="A20" i="5"/>
  <c r="A21" i="5"/>
  <c r="A22" i="5"/>
  <c r="A23" i="5"/>
  <c r="A24" i="5"/>
  <c r="A25" i="5"/>
  <c r="A26" i="5"/>
  <c r="A27" i="5"/>
  <c r="A28" i="5"/>
  <c r="A29" i="5"/>
  <c r="A30" i="5"/>
  <c r="A31" i="5"/>
  <c r="A32" i="5"/>
  <c r="A33" i="5"/>
  <c r="A34" i="5"/>
  <c r="A35" i="5"/>
  <c r="A36" i="5"/>
  <c r="A37" i="5"/>
  <c r="A38" i="5"/>
  <c r="A39" i="5"/>
  <c r="A40" i="5"/>
  <c r="A41" i="5"/>
  <c r="A42" i="5"/>
  <c r="A43" i="5"/>
  <c r="A44" i="5"/>
  <c r="A45" i="5"/>
  <c r="A46" i="5"/>
  <c r="A47" i="5"/>
  <c r="A48" i="5"/>
  <c r="A49" i="5"/>
  <c r="A50" i="5"/>
  <c r="A51" i="5"/>
  <c r="A52" i="5"/>
  <c r="A53" i="5"/>
  <c r="A54" i="5"/>
  <c r="A55" i="5"/>
  <c r="A56" i="5"/>
  <c r="A57" i="5"/>
  <c r="A58" i="5"/>
  <c r="A59" i="5"/>
  <c r="A60" i="5"/>
  <c r="A61" i="5"/>
  <c r="A62" i="5"/>
  <c r="A63" i="5"/>
  <c r="A64" i="5"/>
  <c r="A65" i="5"/>
  <c r="A66" i="5"/>
  <c r="A67" i="5"/>
  <c r="A68" i="5"/>
  <c r="A69" i="5"/>
  <c r="A70" i="5"/>
  <c r="A71" i="5"/>
  <c r="A72" i="5"/>
  <c r="A73" i="5"/>
  <c r="A74" i="5"/>
  <c r="A75" i="5"/>
  <c r="A76" i="5"/>
  <c r="A77" i="5"/>
  <c r="A78" i="5"/>
  <c r="A79" i="5"/>
  <c r="A80" i="5"/>
  <c r="A81" i="5"/>
  <c r="A82" i="5"/>
  <c r="A83" i="5"/>
  <c r="A84" i="5"/>
  <c r="A85" i="5"/>
  <c r="A86" i="5"/>
  <c r="A87" i="5"/>
  <c r="A88" i="5"/>
  <c r="A89" i="5"/>
  <c r="A90" i="5"/>
  <c r="A91" i="5"/>
  <c r="A92" i="5"/>
  <c r="A93" i="5"/>
  <c r="A94" i="5"/>
  <c r="A95" i="5"/>
  <c r="A96" i="5"/>
  <c r="A97" i="5"/>
  <c r="A98" i="5"/>
  <c r="A99" i="5"/>
  <c r="A100" i="5"/>
  <c r="A101" i="5"/>
  <c r="A102" i="5"/>
  <c r="A103" i="5"/>
  <c r="A104" i="5"/>
  <c r="A105" i="5"/>
  <c r="A106" i="5"/>
  <c r="A107" i="5"/>
  <c r="A108" i="5"/>
  <c r="A109" i="5"/>
  <c r="A110" i="5"/>
  <c r="A111" i="5"/>
  <c r="A112" i="5"/>
  <c r="A113" i="5"/>
  <c r="A114" i="5"/>
  <c r="A115" i="5"/>
  <c r="A116" i="5"/>
  <c r="A117" i="5"/>
  <c r="A118" i="5"/>
  <c r="A119" i="5"/>
  <c r="A120" i="5"/>
  <c r="A121" i="5"/>
  <c r="A122" i="5"/>
  <c r="A123" i="5"/>
  <c r="A124" i="5"/>
  <c r="A125" i="5"/>
  <c r="A126" i="5"/>
  <c r="A127" i="5"/>
  <c r="A128" i="5"/>
  <c r="A129" i="5"/>
  <c r="A130" i="5"/>
  <c r="A131" i="5"/>
  <c r="A132" i="5"/>
  <c r="A133" i="5"/>
  <c r="A134" i="5"/>
  <c r="A135" i="5"/>
  <c r="A136" i="5"/>
  <c r="A137" i="5"/>
  <c r="A138" i="5"/>
  <c r="A139" i="5"/>
  <c r="A140" i="5"/>
  <c r="A141" i="5"/>
  <c r="A142" i="5"/>
  <c r="A143" i="5"/>
  <c r="A144" i="5"/>
  <c r="A145" i="5"/>
  <c r="A146" i="5"/>
  <c r="A147" i="5"/>
  <c r="A148" i="5"/>
  <c r="A149" i="5"/>
  <c r="A150" i="5"/>
  <c r="A151" i="5"/>
  <c r="A152" i="5"/>
  <c r="A153" i="5"/>
  <c r="A154" i="5"/>
  <c r="A155" i="5"/>
  <c r="A156" i="5"/>
  <c r="A157" i="5"/>
  <c r="A158" i="5"/>
  <c r="A159" i="5"/>
  <c r="A160" i="5"/>
  <c r="A161" i="5"/>
  <c r="A162" i="5"/>
  <c r="A163" i="5"/>
  <c r="A164" i="5"/>
  <c r="A165" i="5"/>
  <c r="A166" i="5"/>
  <c r="A167" i="5"/>
  <c r="A168" i="5"/>
  <c r="A169" i="5"/>
  <c r="A170" i="5"/>
  <c r="A171" i="5"/>
  <c r="A172" i="5"/>
  <c r="A173" i="5"/>
  <c r="A174" i="5"/>
  <c r="A175" i="5"/>
  <c r="A176" i="5"/>
  <c r="A177" i="5"/>
  <c r="A178" i="5"/>
  <c r="A179" i="5"/>
  <c r="A180" i="5"/>
  <c r="A181" i="5"/>
  <c r="A182" i="5"/>
  <c r="A183" i="5"/>
  <c r="A184" i="5"/>
  <c r="A185" i="5"/>
  <c r="A186" i="5"/>
  <c r="A187" i="5"/>
  <c r="A188" i="5"/>
  <c r="A189" i="5"/>
  <c r="A190" i="5"/>
  <c r="A191" i="5"/>
  <c r="A192" i="5"/>
  <c r="A193" i="5"/>
  <c r="A194" i="5"/>
  <c r="A195" i="5"/>
  <c r="A196" i="5"/>
  <c r="A197" i="5"/>
  <c r="A198" i="5"/>
  <c r="A199" i="5"/>
  <c r="A200" i="5"/>
  <c r="A201" i="5"/>
  <c r="A202" i="5"/>
  <c r="A203" i="5"/>
  <c r="A204" i="5"/>
  <c r="A205" i="5"/>
  <c r="A206" i="5"/>
  <c r="A207" i="5"/>
  <c r="A208" i="5"/>
  <c r="A209" i="5"/>
  <c r="A210" i="5"/>
  <c r="A211" i="5"/>
  <c r="A212" i="5"/>
  <c r="A213" i="5"/>
  <c r="A214" i="5"/>
  <c r="A215" i="5"/>
  <c r="A216" i="5"/>
  <c r="A217" i="5"/>
  <c r="A218" i="5"/>
  <c r="A219" i="5"/>
  <c r="A220" i="5"/>
  <c r="A221" i="5"/>
  <c r="A222" i="5"/>
  <c r="A223" i="5"/>
  <c r="A224" i="5"/>
  <c r="A225" i="5"/>
  <c r="A226" i="5"/>
  <c r="A227" i="5"/>
  <c r="A228" i="5"/>
  <c r="A229" i="5"/>
  <c r="A230" i="5"/>
  <c r="A231" i="5"/>
  <c r="A232" i="5"/>
  <c r="A233" i="5"/>
  <c r="A234" i="5"/>
  <c r="K64" i="5"/>
  <c r="K2" i="5"/>
  <c r="K3" i="5"/>
  <c r="K4" i="5"/>
  <c r="K5" i="5"/>
  <c r="K6" i="5"/>
  <c r="K7" i="5"/>
  <c r="K8" i="5"/>
  <c r="K9" i="5"/>
  <c r="K10" i="5"/>
  <c r="K11" i="5"/>
  <c r="K12" i="5"/>
  <c r="K13" i="5"/>
  <c r="K14" i="5"/>
  <c r="K15" i="5"/>
  <c r="K16" i="5"/>
  <c r="K17" i="5"/>
  <c r="K18" i="5"/>
  <c r="K19" i="5"/>
  <c r="K20" i="5"/>
  <c r="K21" i="5"/>
  <c r="K22" i="5"/>
  <c r="K23" i="5"/>
  <c r="K24" i="5"/>
  <c r="K25" i="5"/>
  <c r="K26" i="5"/>
  <c r="K27" i="5"/>
  <c r="K28" i="5"/>
  <c r="K29" i="5"/>
  <c r="K30" i="5"/>
  <c r="K31" i="5"/>
  <c r="K32" i="5"/>
  <c r="K33" i="5"/>
  <c r="K34" i="5"/>
  <c r="K35" i="5"/>
  <c r="K36" i="5"/>
  <c r="K37" i="5"/>
  <c r="K38" i="5"/>
  <c r="K39" i="5"/>
  <c r="K40" i="5"/>
  <c r="K41" i="5"/>
  <c r="K42" i="5"/>
  <c r="K43" i="5"/>
  <c r="K44" i="5"/>
  <c r="K45" i="5"/>
  <c r="K46" i="5"/>
  <c r="K47" i="5"/>
  <c r="K48" i="5"/>
  <c r="K49" i="5"/>
  <c r="K50" i="5"/>
  <c r="K51" i="5"/>
  <c r="K52" i="5"/>
  <c r="K53" i="5"/>
  <c r="K54" i="5"/>
  <c r="K55" i="5"/>
  <c r="K56" i="5"/>
  <c r="K57" i="5"/>
  <c r="K58" i="5"/>
  <c r="K59" i="5"/>
  <c r="K60" i="5"/>
  <c r="K61" i="5"/>
  <c r="K62" i="5"/>
  <c r="K63" i="5"/>
  <c r="K65" i="5"/>
  <c r="K66" i="5"/>
  <c r="K67" i="5"/>
  <c r="K68" i="5"/>
  <c r="K69" i="5"/>
  <c r="K70" i="5"/>
  <c r="K71" i="5"/>
  <c r="K72" i="5"/>
  <c r="K73" i="5"/>
  <c r="K74" i="5"/>
  <c r="K75" i="5"/>
  <c r="K76" i="5"/>
  <c r="K77" i="5"/>
  <c r="K78" i="5"/>
  <c r="K79" i="5"/>
  <c r="K80" i="5"/>
  <c r="K81" i="5"/>
  <c r="K82" i="5"/>
  <c r="K83" i="5"/>
  <c r="K84" i="5"/>
  <c r="K85" i="5"/>
  <c r="K86" i="5"/>
  <c r="K87" i="5"/>
  <c r="K88" i="5"/>
  <c r="K89" i="5"/>
  <c r="K90" i="5"/>
  <c r="K91" i="5"/>
  <c r="K92" i="5"/>
  <c r="K93" i="5"/>
  <c r="K94" i="5"/>
  <c r="K95" i="5"/>
  <c r="K96" i="5"/>
  <c r="K97" i="5"/>
  <c r="K98" i="5"/>
  <c r="K99" i="5"/>
  <c r="K100" i="5"/>
  <c r="K101" i="5"/>
  <c r="K102" i="5"/>
  <c r="K103" i="5"/>
  <c r="K104" i="5"/>
  <c r="K105" i="5"/>
  <c r="K106" i="5"/>
  <c r="K107" i="5"/>
  <c r="K108" i="5"/>
  <c r="K109" i="5"/>
  <c r="K110" i="5"/>
  <c r="K111" i="5"/>
  <c r="K112" i="5"/>
  <c r="K113" i="5"/>
  <c r="K114" i="5"/>
  <c r="K115" i="5"/>
  <c r="K116" i="5"/>
  <c r="K117" i="5"/>
  <c r="K118" i="5"/>
  <c r="K119" i="5"/>
  <c r="K120" i="5"/>
  <c r="K121" i="5"/>
  <c r="K122" i="5"/>
  <c r="K123" i="5"/>
  <c r="K124" i="5"/>
  <c r="K125" i="5"/>
  <c r="K126" i="5"/>
  <c r="K127" i="5"/>
  <c r="K128" i="5"/>
  <c r="K129" i="5"/>
  <c r="K130" i="5"/>
  <c r="K131" i="5"/>
  <c r="K132" i="5"/>
  <c r="K133" i="5"/>
  <c r="K134" i="5"/>
  <c r="K135" i="5"/>
  <c r="K136" i="5"/>
  <c r="K137" i="5"/>
  <c r="K138" i="5"/>
  <c r="K140" i="5"/>
  <c r="K141" i="5"/>
  <c r="K143" i="5"/>
  <c r="K144" i="5"/>
  <c r="K145" i="5"/>
  <c r="K146" i="5"/>
  <c r="K147" i="5"/>
  <c r="K148" i="5"/>
  <c r="K149" i="5"/>
  <c r="K150" i="5"/>
  <c r="K151" i="5"/>
  <c r="K152" i="5"/>
  <c r="K154" i="5"/>
  <c r="K155" i="5"/>
  <c r="K156" i="5"/>
  <c r="K157" i="5"/>
  <c r="K158" i="5"/>
  <c r="K159" i="5"/>
  <c r="K160" i="5"/>
  <c r="T185" i="1"/>
  <c r="T186" i="1"/>
  <c r="T187" i="1"/>
  <c r="T188" i="1"/>
  <c r="T189" i="1"/>
  <c r="T190" i="1"/>
  <c r="T191" i="1"/>
  <c r="T192" i="1"/>
  <c r="T193" i="1"/>
  <c r="T194" i="1"/>
  <c r="T195" i="1"/>
  <c r="T196" i="1"/>
  <c r="T197" i="1"/>
  <c r="T198" i="1"/>
  <c r="T199" i="1"/>
  <c r="T200" i="1"/>
  <c r="T201" i="1"/>
  <c r="T166" i="1"/>
  <c r="T167" i="1"/>
  <c r="T168" i="1"/>
  <c r="T169" i="1"/>
  <c r="T170" i="1"/>
  <c r="T171" i="1"/>
  <c r="T172" i="1"/>
  <c r="T173" i="1"/>
  <c r="T174" i="1"/>
  <c r="T175" i="1"/>
  <c r="T176" i="1"/>
  <c r="T177" i="1"/>
  <c r="T178" i="1"/>
  <c r="T179" i="1"/>
  <c r="T180" i="1"/>
  <c r="T181" i="1"/>
  <c r="T182" i="1"/>
  <c r="T183" i="1"/>
  <c r="T184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6" i="1"/>
  <c r="T37" i="1"/>
  <c r="T38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T77" i="1"/>
  <c r="T78" i="1"/>
  <c r="T79" i="1"/>
  <c r="T80" i="1"/>
  <c r="T81" i="1"/>
  <c r="T82" i="1"/>
  <c r="T83" i="1"/>
  <c r="T84" i="1"/>
  <c r="T85" i="1"/>
  <c r="T86" i="1"/>
  <c r="T87" i="1"/>
  <c r="T88" i="1"/>
  <c r="T89" i="1"/>
  <c r="T90" i="1"/>
  <c r="T91" i="1"/>
  <c r="T92" i="1"/>
  <c r="T93" i="1"/>
  <c r="T94" i="1"/>
  <c r="T95" i="1"/>
  <c r="T96" i="1"/>
  <c r="T97" i="1"/>
  <c r="T98" i="1"/>
  <c r="T99" i="1"/>
  <c r="T100" i="1"/>
  <c r="T101" i="1"/>
  <c r="T102" i="1"/>
  <c r="T103" i="1"/>
  <c r="T105" i="1"/>
  <c r="T106" i="1"/>
  <c r="T107" i="1"/>
  <c r="T108" i="1"/>
  <c r="T109" i="1"/>
  <c r="T110" i="1"/>
  <c r="T111" i="1"/>
  <c r="T112" i="1"/>
  <c r="T113" i="1"/>
  <c r="T114" i="1"/>
  <c r="T115" i="1"/>
  <c r="T116" i="1"/>
  <c r="T117" i="1"/>
  <c r="T118" i="1"/>
  <c r="T119" i="1"/>
  <c r="T120" i="1"/>
  <c r="T121" i="1"/>
  <c r="T122" i="1"/>
  <c r="T123" i="1"/>
  <c r="T124" i="1"/>
  <c r="T125" i="1"/>
  <c r="T126" i="1"/>
  <c r="T127" i="1"/>
  <c r="T128" i="1"/>
  <c r="T129" i="1"/>
  <c r="T130" i="1"/>
  <c r="T131" i="1"/>
  <c r="T132" i="1"/>
  <c r="T133" i="1"/>
  <c r="T134" i="1"/>
  <c r="T135" i="1"/>
  <c r="T136" i="1"/>
  <c r="T137" i="1"/>
  <c r="T138" i="1"/>
  <c r="T139" i="1"/>
  <c r="T140" i="1"/>
  <c r="T141" i="1"/>
  <c r="T142" i="1"/>
  <c r="T143" i="1"/>
  <c r="T144" i="1"/>
  <c r="T145" i="1"/>
  <c r="T146" i="1"/>
  <c r="T147" i="1"/>
  <c r="T148" i="1"/>
  <c r="T149" i="1"/>
  <c r="T150" i="1"/>
  <c r="T151" i="1"/>
  <c r="T152" i="1"/>
  <c r="T153" i="1"/>
  <c r="T154" i="1"/>
  <c r="T155" i="1"/>
  <c r="T156" i="1"/>
  <c r="T157" i="1"/>
  <c r="T158" i="1"/>
  <c r="T159" i="1"/>
  <c r="T160" i="1"/>
  <c r="T161" i="1"/>
  <c r="T162" i="1"/>
  <c r="T163" i="1"/>
  <c r="T164" i="1"/>
  <c r="T165" i="1"/>
  <c r="Z3" i="1"/>
  <c r="B14" i="3"/>
  <c r="D9" i="6"/>
  <c r="Y11" i="9" s="1"/>
  <c r="H4" i="2"/>
  <c r="AF8" i="9" s="1"/>
  <c r="D21" i="6"/>
  <c r="H12" i="2"/>
  <c r="AF16" i="9" s="1"/>
  <c r="D15" i="6"/>
  <c r="H6" i="2"/>
  <c r="AF10" i="9" s="1"/>
  <c r="D16" i="6"/>
  <c r="H7" i="2"/>
  <c r="AF11" i="9" s="1"/>
  <c r="D17" i="6"/>
  <c r="H8" i="2"/>
  <c r="AF12" i="9" s="1"/>
  <c r="D18" i="6"/>
  <c r="H9" i="2"/>
  <c r="AF13" i="9" s="1"/>
  <c r="D20" i="6"/>
  <c r="H11" i="2"/>
  <c r="AF15" i="9" s="1"/>
  <c r="T3" i="1"/>
  <c r="H5" i="2"/>
  <c r="AF9" i="9" s="1"/>
  <c r="T1" i="1"/>
  <c r="D13" i="6"/>
  <c r="E34" i="6"/>
  <c r="R10" i="9" s="1"/>
  <c r="E35" i="6"/>
  <c r="R11" i="9" s="1"/>
  <c r="E36" i="6"/>
  <c r="R12" i="9" s="1"/>
  <c r="E37" i="6"/>
  <c r="R13" i="9" s="1"/>
  <c r="E38" i="6"/>
  <c r="R14" i="9" s="1"/>
  <c r="E39" i="6"/>
  <c r="R15" i="9" s="1"/>
  <c r="E33" i="6"/>
  <c r="R9" i="9" s="1"/>
  <c r="E40" i="6"/>
  <c r="R16" i="9" s="1"/>
  <c r="K3" i="3"/>
  <c r="L9" i="9" s="1"/>
  <c r="K4" i="3"/>
  <c r="L10" i="9" s="1"/>
  <c r="K5" i="3"/>
  <c r="L11" i="9" s="1"/>
  <c r="K6" i="3"/>
  <c r="L12" i="9" s="1"/>
  <c r="K7" i="3"/>
  <c r="L13" i="9" s="1"/>
  <c r="K8" i="3"/>
  <c r="L14" i="9" s="1"/>
  <c r="K2" i="3"/>
  <c r="L8" i="9" s="1"/>
  <c r="K9" i="3"/>
  <c r="K221" i="5"/>
  <c r="K220" i="5"/>
  <c r="K219" i="5"/>
  <c r="K218" i="5"/>
  <c r="K216" i="5"/>
  <c r="K215" i="5"/>
  <c r="K214" i="5"/>
  <c r="K213" i="5"/>
  <c r="K212" i="5"/>
  <c r="K211" i="5"/>
  <c r="K210" i="5"/>
  <c r="K209" i="5"/>
  <c r="K208" i="5"/>
  <c r="Z209" i="1"/>
  <c r="K207" i="5"/>
  <c r="Z208" i="1"/>
  <c r="K206" i="5"/>
  <c r="Z207" i="1"/>
  <c r="K205" i="5"/>
  <c r="Z206" i="1"/>
  <c r="D14" i="6"/>
  <c r="H3" i="3"/>
  <c r="H4" i="3"/>
  <c r="H5" i="3"/>
  <c r="H6" i="3"/>
  <c r="H7" i="3"/>
  <c r="H8" i="3"/>
  <c r="H2" i="3"/>
  <c r="Z235" i="1"/>
  <c r="Z234" i="1"/>
  <c r="Z233" i="1"/>
  <c r="Z232" i="1"/>
  <c r="Z231" i="1"/>
  <c r="Z230" i="1"/>
  <c r="Z229" i="1"/>
  <c r="Z228" i="1"/>
  <c r="Z227" i="1"/>
  <c r="Z226" i="1"/>
  <c r="Z225" i="1"/>
  <c r="Z224" i="1"/>
  <c r="Z223" i="1"/>
  <c r="Z222" i="1"/>
  <c r="Z221" i="1"/>
  <c r="Z220" i="1"/>
  <c r="Z219" i="1"/>
  <c r="Z218" i="1"/>
  <c r="Z217" i="1"/>
  <c r="Z216" i="1"/>
  <c r="Z215" i="1"/>
  <c r="Z214" i="1"/>
  <c r="Z213" i="1"/>
  <c r="Z212" i="1"/>
  <c r="Z211" i="1"/>
  <c r="Z210" i="1"/>
  <c r="AA235" i="1"/>
  <c r="AA234" i="1"/>
  <c r="AA233" i="1"/>
  <c r="AA232" i="1"/>
  <c r="AA231" i="1"/>
  <c r="AA230" i="1"/>
  <c r="AA229" i="1"/>
  <c r="AA228" i="1"/>
  <c r="AA227" i="1"/>
  <c r="AA226" i="1"/>
  <c r="AA225" i="1"/>
  <c r="AA224" i="1"/>
  <c r="AA223" i="1"/>
  <c r="AA222" i="1"/>
  <c r="AA221" i="1"/>
  <c r="AA220" i="1"/>
  <c r="AA219" i="1"/>
  <c r="AA218" i="1"/>
  <c r="AA217" i="1"/>
  <c r="AA216" i="1"/>
  <c r="AA215" i="1"/>
  <c r="AA214" i="1"/>
  <c r="AA213" i="1"/>
  <c r="AA212" i="1"/>
  <c r="AA211" i="1"/>
  <c r="AA210" i="1"/>
  <c r="B3" i="3"/>
  <c r="I9" i="9" s="1"/>
  <c r="B4" i="3"/>
  <c r="I10" i="9" s="1"/>
  <c r="B5" i="3"/>
  <c r="I11" i="9" s="1"/>
  <c r="B6" i="3"/>
  <c r="I12" i="9" s="1"/>
  <c r="B7" i="3"/>
  <c r="I13" i="9" s="1"/>
  <c r="B8" i="3"/>
  <c r="I14" i="9" s="1"/>
  <c r="Z126" i="1"/>
  <c r="Z125" i="1"/>
  <c r="Z124" i="1"/>
  <c r="Z123" i="1"/>
  <c r="Z122" i="1"/>
  <c r="Z121" i="1"/>
  <c r="Z120" i="1"/>
  <c r="Z119" i="1"/>
  <c r="Z118" i="1"/>
  <c r="Z117" i="1"/>
  <c r="Z116" i="1"/>
  <c r="Z115" i="1"/>
  <c r="Z114" i="1"/>
  <c r="Z113" i="1"/>
  <c r="Z112" i="1"/>
  <c r="Z111" i="1"/>
  <c r="Z110" i="1"/>
  <c r="Z109" i="1"/>
  <c r="Z108" i="1"/>
  <c r="Z107" i="1"/>
  <c r="Z106" i="1"/>
  <c r="Z105" i="1"/>
  <c r="Z103" i="1"/>
  <c r="Z102" i="1"/>
  <c r="Z101" i="1"/>
  <c r="Z100" i="1"/>
  <c r="Z99" i="1"/>
  <c r="Z98" i="1"/>
  <c r="Z97" i="1"/>
  <c r="Z96" i="1"/>
  <c r="Z95" i="1"/>
  <c r="Z94" i="1"/>
  <c r="Z93" i="1"/>
  <c r="Z92" i="1"/>
  <c r="Z91" i="1"/>
  <c r="Z90" i="1"/>
  <c r="Z89" i="1"/>
  <c r="Z88" i="1"/>
  <c r="Z87" i="1"/>
  <c r="Z86" i="1"/>
  <c r="Z85" i="1"/>
  <c r="Z84" i="1"/>
  <c r="Z83" i="1"/>
  <c r="Z82" i="1"/>
  <c r="Z81" i="1"/>
  <c r="Z80" i="1"/>
  <c r="Z79" i="1"/>
  <c r="Z78" i="1"/>
  <c r="Z77" i="1"/>
  <c r="Z76" i="1"/>
  <c r="Z75" i="1"/>
  <c r="Z74" i="1"/>
  <c r="Z73" i="1"/>
  <c r="Z72" i="1"/>
  <c r="Z71" i="1"/>
  <c r="Z70" i="1"/>
  <c r="Z69" i="1"/>
  <c r="Z68" i="1"/>
  <c r="Z67" i="1"/>
  <c r="Z66" i="1"/>
  <c r="Z65" i="1"/>
  <c r="Z64" i="1"/>
  <c r="Z63" i="1"/>
  <c r="Z62" i="1"/>
  <c r="Z61" i="1"/>
  <c r="Z60" i="1"/>
  <c r="Z59" i="1"/>
  <c r="Z58" i="1"/>
  <c r="Z57" i="1"/>
  <c r="Z56" i="1"/>
  <c r="Z55" i="1"/>
  <c r="Z54" i="1"/>
  <c r="Z53" i="1"/>
  <c r="Z52" i="1"/>
  <c r="Z51" i="1"/>
  <c r="Z50" i="1"/>
  <c r="Z49" i="1"/>
  <c r="Z48" i="1"/>
  <c r="Z47" i="1"/>
  <c r="Z46" i="1"/>
  <c r="Z45" i="1"/>
  <c r="Z44" i="1"/>
  <c r="Z43" i="1"/>
  <c r="Z42" i="1"/>
  <c r="Z41" i="1"/>
  <c r="Z40" i="1"/>
  <c r="Z39" i="1"/>
  <c r="Z38" i="1"/>
  <c r="Z37" i="1"/>
  <c r="Z36" i="1"/>
  <c r="Z35" i="1"/>
  <c r="Z34" i="1"/>
  <c r="Z33" i="1"/>
  <c r="Z32" i="1"/>
  <c r="Z31" i="1"/>
  <c r="Z30" i="1"/>
  <c r="Z29" i="1"/>
  <c r="Z28" i="1"/>
  <c r="Z27" i="1"/>
  <c r="Z26" i="1"/>
  <c r="Z25" i="1"/>
  <c r="Z24" i="1"/>
  <c r="Z23" i="1"/>
  <c r="Z22" i="1"/>
  <c r="Z21" i="1"/>
  <c r="Z20" i="1"/>
  <c r="Z19" i="1"/>
  <c r="Z18" i="1"/>
  <c r="Z17" i="1"/>
  <c r="Z16" i="1"/>
  <c r="Z15" i="1"/>
  <c r="Z14" i="1"/>
  <c r="Z13" i="1"/>
  <c r="Z12" i="1"/>
  <c r="Z11" i="1"/>
  <c r="Z10" i="1"/>
  <c r="Z9" i="1"/>
  <c r="Z8" i="1"/>
  <c r="Z7" i="1"/>
  <c r="Z6" i="1"/>
  <c r="Z5" i="1"/>
  <c r="Z4" i="1"/>
  <c r="Z178" i="1"/>
  <c r="Z177" i="1"/>
  <c r="Z176" i="1"/>
  <c r="Z175" i="1"/>
  <c r="Z174" i="1"/>
  <c r="Z173" i="1"/>
  <c r="Z172" i="1"/>
  <c r="Z171" i="1"/>
  <c r="Z170" i="1"/>
  <c r="Z169" i="1"/>
  <c r="Z168" i="1"/>
  <c r="Z167" i="1"/>
  <c r="Z166" i="1"/>
  <c r="Z165" i="1"/>
  <c r="Z164" i="1"/>
  <c r="Z163" i="1"/>
  <c r="Z162" i="1"/>
  <c r="Z161" i="1"/>
  <c r="Z160" i="1"/>
  <c r="Z159" i="1"/>
  <c r="Z158" i="1"/>
  <c r="Z157" i="1"/>
  <c r="Z156" i="1"/>
  <c r="Z155" i="1"/>
  <c r="Z154" i="1"/>
  <c r="Z153" i="1"/>
  <c r="Z152" i="1"/>
  <c r="Z151" i="1"/>
  <c r="Z150" i="1"/>
  <c r="Z149" i="1"/>
  <c r="Z148" i="1"/>
  <c r="Z147" i="1"/>
  <c r="Z146" i="1"/>
  <c r="Z145" i="1"/>
  <c r="Z144" i="1"/>
  <c r="Z143" i="1"/>
  <c r="Z142" i="1"/>
  <c r="Z141" i="1"/>
  <c r="Z140" i="1"/>
  <c r="Z139" i="1"/>
  <c r="Z138" i="1"/>
  <c r="Z137" i="1"/>
  <c r="Z136" i="1"/>
  <c r="Z135" i="1"/>
  <c r="Z134" i="1"/>
  <c r="Z133" i="1"/>
  <c r="Z132" i="1"/>
  <c r="Z131" i="1"/>
  <c r="Z130" i="1"/>
  <c r="Z129" i="1"/>
  <c r="Z128" i="1"/>
  <c r="Z127" i="1"/>
  <c r="Z179" i="1"/>
  <c r="AA179" i="1" s="1"/>
  <c r="AA209" i="1"/>
  <c r="AA208" i="1"/>
  <c r="AA207" i="1"/>
  <c r="AA206" i="1"/>
  <c r="AA205" i="1"/>
  <c r="AA204" i="1"/>
  <c r="AA203" i="1"/>
  <c r="AA202" i="1"/>
  <c r="AA201" i="1"/>
  <c r="AA200" i="1"/>
  <c r="AA199" i="1"/>
  <c r="AA198" i="1"/>
  <c r="AA197" i="1"/>
  <c r="AA196" i="1"/>
  <c r="AA195" i="1"/>
  <c r="AA194" i="1"/>
  <c r="AA193" i="1"/>
  <c r="AA192" i="1"/>
  <c r="AA191" i="1"/>
  <c r="AA190" i="1"/>
  <c r="AA189" i="1"/>
  <c r="AA188" i="1"/>
  <c r="AA187" i="1"/>
  <c r="AA186" i="1"/>
  <c r="AA185" i="1"/>
  <c r="AA184" i="1"/>
  <c r="AA183" i="1"/>
  <c r="AA182" i="1"/>
  <c r="AA181" i="1"/>
  <c r="AA180" i="1"/>
  <c r="AA177" i="1"/>
  <c r="K172" i="5"/>
  <c r="K204" i="5"/>
  <c r="K203" i="5"/>
  <c r="K202" i="5"/>
  <c r="K201" i="5"/>
  <c r="K200" i="5"/>
  <c r="K199" i="5"/>
  <c r="K198" i="5"/>
  <c r="K197" i="5"/>
  <c r="K196" i="5"/>
  <c r="K195" i="5"/>
  <c r="K194" i="5"/>
  <c r="K193" i="5"/>
  <c r="K192" i="5"/>
  <c r="K191" i="5"/>
  <c r="K190" i="5"/>
  <c r="K189" i="5"/>
  <c r="K188" i="5"/>
  <c r="K187" i="5"/>
  <c r="K186" i="5"/>
  <c r="K185" i="5"/>
  <c r="K184" i="5"/>
  <c r="K183" i="5"/>
  <c r="K182" i="5"/>
  <c r="K181" i="5"/>
  <c r="K180" i="5"/>
  <c r="K179" i="5"/>
  <c r="K178" i="5"/>
  <c r="K177" i="5"/>
  <c r="K176" i="5"/>
  <c r="K175" i="5"/>
  <c r="K174" i="5"/>
  <c r="K173" i="5"/>
  <c r="M190" i="5"/>
  <c r="B2" i="3"/>
  <c r="C2" i="3"/>
  <c r="J8" i="9" s="1"/>
  <c r="C4" i="3"/>
  <c r="J10" i="9" s="1"/>
  <c r="C5" i="3"/>
  <c r="J11" i="9" s="1"/>
  <c r="C6" i="3"/>
  <c r="C7" i="3"/>
  <c r="J13" i="9" s="1"/>
  <c r="C8" i="3"/>
  <c r="C3" i="3"/>
  <c r="D3" i="3"/>
  <c r="M14" i="5"/>
  <c r="M202" i="5"/>
  <c r="AA9" i="1"/>
  <c r="M75" i="5"/>
  <c r="M168" i="5"/>
  <c r="AA55" i="1"/>
  <c r="AA96" i="1"/>
  <c r="M162" i="5"/>
  <c r="M173" i="5"/>
  <c r="M201" i="5"/>
  <c r="M184" i="5"/>
  <c r="M43" i="5"/>
  <c r="M166" i="5"/>
  <c r="M153" i="5"/>
  <c r="M196" i="5"/>
  <c r="M5" i="5"/>
  <c r="M34" i="5"/>
  <c r="M181" i="5"/>
  <c r="M150" i="5"/>
  <c r="M96" i="5"/>
  <c r="D6" i="6"/>
  <c r="Y9" i="9" s="1"/>
  <c r="AA136" i="1"/>
  <c r="AA28" i="1"/>
  <c r="M163" i="5"/>
  <c r="M171" i="5"/>
  <c r="M2" i="5"/>
  <c r="M198" i="5"/>
  <c r="M189" i="5"/>
  <c r="M177" i="5"/>
  <c r="M23" i="5"/>
  <c r="M55" i="5"/>
  <c r="M65" i="5"/>
  <c r="M110" i="5"/>
  <c r="M175" i="5"/>
  <c r="AA123" i="1"/>
  <c r="AA133" i="1"/>
  <c r="AA145" i="1"/>
  <c r="AA151" i="1"/>
  <c r="AA154" i="1"/>
  <c r="AA160" i="1"/>
  <c r="AA163" i="1"/>
  <c r="AA172" i="1"/>
  <c r="AA15" i="1"/>
  <c r="AA22" i="1"/>
  <c r="AA42" i="1"/>
  <c r="AA69" i="1"/>
  <c r="AA82" i="1"/>
  <c r="AA109" i="1"/>
  <c r="M193" i="5"/>
  <c r="M199" i="5"/>
  <c r="M137" i="5"/>
  <c r="M119" i="5"/>
  <c r="M89" i="5"/>
  <c r="M69" i="5"/>
  <c r="M47" i="5"/>
  <c r="M28" i="5"/>
  <c r="M16" i="5"/>
  <c r="M147" i="5"/>
  <c r="M122" i="5"/>
  <c r="M104" i="5"/>
  <c r="M92" i="5"/>
  <c r="M83" i="5"/>
  <c r="M71" i="5"/>
  <c r="M61" i="5"/>
  <c r="M50" i="5"/>
  <c r="M41" i="5"/>
  <c r="M29" i="5"/>
  <c r="M20" i="5"/>
  <c r="M10" i="5"/>
  <c r="M4" i="5"/>
  <c r="M180" i="5"/>
  <c r="M186" i="5"/>
  <c r="M204" i="5"/>
  <c r="M195" i="5"/>
  <c r="M169" i="5"/>
  <c r="M165" i="5"/>
  <c r="M98" i="5"/>
  <c r="M78" i="5"/>
  <c r="M56" i="5"/>
  <c r="M37" i="5"/>
  <c r="M8" i="5"/>
  <c r="AA169" i="1"/>
  <c r="AA168" i="1"/>
  <c r="AA4" i="1"/>
  <c r="AA6" i="1"/>
  <c r="AA10" i="1"/>
  <c r="AA13" i="1"/>
  <c r="AA18" i="1"/>
  <c r="AA19" i="1"/>
  <c r="AA24" i="1"/>
  <c r="AA27" i="1"/>
  <c r="AA31" i="1"/>
  <c r="AA33" i="1"/>
  <c r="AA37" i="1"/>
  <c r="AA40" i="1"/>
  <c r="AA46" i="1"/>
  <c r="AA51" i="1"/>
  <c r="AA60" i="1"/>
  <c r="AA64" i="1"/>
  <c r="AA73" i="1"/>
  <c r="AA78" i="1"/>
  <c r="AA87" i="1"/>
  <c r="AA91" i="1"/>
  <c r="AA100" i="1"/>
  <c r="AA105" i="1"/>
  <c r="AA114" i="1"/>
  <c r="AA118" i="1"/>
  <c r="AA124" i="1"/>
  <c r="AA127" i="1"/>
  <c r="AA142" i="1"/>
  <c r="AA141" i="1"/>
  <c r="M84" i="5"/>
  <c r="M131" i="5"/>
  <c r="AA36" i="1"/>
  <c r="AA150" i="1"/>
  <c r="M158" i="5"/>
  <c r="M197" i="5"/>
  <c r="M203" i="5"/>
  <c r="AA126" i="1"/>
  <c r="AA130" i="1"/>
  <c r="AA138" i="1"/>
  <c r="AA139" i="1"/>
  <c r="AA144" i="1"/>
  <c r="AA147" i="1"/>
  <c r="AA148" i="1"/>
  <c r="AA153" i="1"/>
  <c r="AA157" i="1"/>
  <c r="AA162" i="1"/>
  <c r="AA165" i="1"/>
  <c r="AA166" i="1"/>
  <c r="AA171" i="1"/>
  <c r="AA174" i="1"/>
  <c r="AA175" i="1"/>
  <c r="AA3" i="1"/>
  <c r="AA7" i="1"/>
  <c r="AA12" i="1"/>
  <c r="AA16" i="1"/>
  <c r="AA21" i="1"/>
  <c r="AA25" i="1"/>
  <c r="AA30" i="1"/>
  <c r="AA34" i="1"/>
  <c r="AA39" i="1"/>
  <c r="AA43" i="1"/>
  <c r="AA48" i="1"/>
  <c r="AA52" i="1"/>
  <c r="AA57" i="1"/>
  <c r="AA61" i="1"/>
  <c r="AA66" i="1"/>
  <c r="AA70" i="1"/>
  <c r="AA75" i="1"/>
  <c r="AA79" i="1"/>
  <c r="AA84" i="1"/>
  <c r="AA88" i="1"/>
  <c r="AA132" i="1"/>
  <c r="AA159" i="1"/>
  <c r="M200" i="5"/>
  <c r="AA135" i="1"/>
  <c r="AA156" i="1"/>
  <c r="M161" i="5"/>
  <c r="M164" i="5"/>
  <c r="M167" i="5"/>
  <c r="M170" i="5"/>
  <c r="M174" i="5"/>
  <c r="M64" i="5"/>
  <c r="M192" i="5"/>
  <c r="M187" i="5"/>
  <c r="M183" i="5"/>
  <c r="M178" i="5"/>
  <c r="M172" i="5"/>
  <c r="M7" i="5"/>
  <c r="M11" i="5"/>
  <c r="M19" i="5"/>
  <c r="M25" i="5"/>
  <c r="M32" i="5"/>
  <c r="M38" i="5"/>
  <c r="M46" i="5"/>
  <c r="M52" i="5"/>
  <c r="M59" i="5"/>
  <c r="M66" i="5"/>
  <c r="M74" i="5"/>
  <c r="M80" i="5"/>
  <c r="M87" i="5"/>
  <c r="M93" i="5"/>
  <c r="M101" i="5"/>
  <c r="M113" i="5"/>
  <c r="M128" i="5"/>
  <c r="M141" i="5"/>
  <c r="M191" i="5"/>
  <c r="M157" i="5"/>
  <c r="M154" i="5"/>
  <c r="M144" i="5"/>
  <c r="M134" i="5"/>
  <c r="M125" i="5"/>
  <c r="M116" i="5"/>
  <c r="M107" i="5"/>
  <c r="M99" i="5"/>
  <c r="M95" i="5"/>
  <c r="M90" i="5"/>
  <c r="M86" i="5"/>
  <c r="M81" i="5"/>
  <c r="M77" i="5"/>
  <c r="M72" i="5"/>
  <c r="M68" i="5"/>
  <c r="M62" i="5"/>
  <c r="M58" i="5"/>
  <c r="M53" i="5"/>
  <c r="M49" i="5"/>
  <c r="M44" i="5"/>
  <c r="M40" i="5"/>
  <c r="M35" i="5"/>
  <c r="M31" i="5"/>
  <c r="M26" i="5"/>
  <c r="M22" i="5"/>
  <c r="M17" i="5"/>
  <c r="M13" i="5"/>
  <c r="AA93" i="1"/>
  <c r="AA97" i="1"/>
  <c r="AA102" i="1"/>
  <c r="AA106" i="1"/>
  <c r="AA111" i="1"/>
  <c r="AA115" i="1"/>
  <c r="AA120" i="1"/>
  <c r="AA129" i="1"/>
  <c r="AA178" i="1"/>
  <c r="AA45" i="1"/>
  <c r="AA49" i="1"/>
  <c r="AA54" i="1"/>
  <c r="AA58" i="1"/>
  <c r="AA63" i="1"/>
  <c r="AA67" i="1"/>
  <c r="AA72" i="1"/>
  <c r="AA76" i="1"/>
  <c r="AA81" i="1"/>
  <c r="AA85" i="1"/>
  <c r="AA90" i="1"/>
  <c r="AA94" i="1"/>
  <c r="AA99" i="1"/>
  <c r="AA103" i="1"/>
  <c r="AA108" i="1"/>
  <c r="AA112" i="1"/>
  <c r="AA117" i="1"/>
  <c r="AA121" i="1"/>
  <c r="AA128" i="1"/>
  <c r="AA131" i="1"/>
  <c r="AA134" i="1"/>
  <c r="AA137" i="1"/>
  <c r="AA140" i="1"/>
  <c r="AA143" i="1"/>
  <c r="AA146" i="1"/>
  <c r="AA149" i="1"/>
  <c r="AA152" i="1"/>
  <c r="AA155" i="1"/>
  <c r="AA158" i="1"/>
  <c r="AA161" i="1"/>
  <c r="AA164" i="1"/>
  <c r="AA167" i="1"/>
  <c r="AA170" i="1"/>
  <c r="AA173" i="1"/>
  <c r="AA176" i="1"/>
  <c r="AA5" i="1"/>
  <c r="AA8" i="1"/>
  <c r="AA11" i="1"/>
  <c r="AA14" i="1"/>
  <c r="AA17" i="1"/>
  <c r="AA20" i="1"/>
  <c r="AA23" i="1"/>
  <c r="AA26" i="1"/>
  <c r="AA29" i="1"/>
  <c r="AA32" i="1"/>
  <c r="AA35" i="1"/>
  <c r="AA38" i="1"/>
  <c r="AA41" i="1"/>
  <c r="AA44" i="1"/>
  <c r="AA47" i="1"/>
  <c r="AA50" i="1"/>
  <c r="AA53" i="1"/>
  <c r="AA56" i="1"/>
  <c r="AA59" i="1"/>
  <c r="AA62" i="1"/>
  <c r="AA65" i="1"/>
  <c r="AA68" i="1"/>
  <c r="AA71" i="1"/>
  <c r="AA74" i="1"/>
  <c r="AA77" i="1"/>
  <c r="AA80" i="1"/>
  <c r="AA83" i="1"/>
  <c r="AA86" i="1"/>
  <c r="AA89" i="1"/>
  <c r="AA92" i="1"/>
  <c r="AA95" i="1"/>
  <c r="AA98" i="1"/>
  <c r="AA101" i="1"/>
  <c r="AA107" i="1"/>
  <c r="AA110" i="1"/>
  <c r="AA113" i="1"/>
  <c r="AA116" i="1"/>
  <c r="AA119" i="1"/>
  <c r="AA122" i="1"/>
  <c r="AA125" i="1"/>
  <c r="M102" i="5"/>
  <c r="M105" i="5"/>
  <c r="M108" i="5"/>
  <c r="M111" i="5"/>
  <c r="M114" i="5"/>
  <c r="M117" i="5"/>
  <c r="M120" i="5"/>
  <c r="M123" i="5"/>
  <c r="M126" i="5"/>
  <c r="M129" i="5"/>
  <c r="M132" i="5"/>
  <c r="M135" i="5"/>
  <c r="M138" i="5"/>
  <c r="M145" i="5"/>
  <c r="M148" i="5"/>
  <c r="M151" i="5"/>
  <c r="M155" i="5"/>
  <c r="M159" i="5"/>
  <c r="M194" i="5"/>
  <c r="M188" i="5"/>
  <c r="M185" i="5"/>
  <c r="M182" i="5"/>
  <c r="M179" i="5"/>
  <c r="M176" i="5"/>
  <c r="M3" i="5"/>
  <c r="M6" i="5"/>
  <c r="M9" i="5"/>
  <c r="M12" i="5"/>
  <c r="M15" i="5"/>
  <c r="M18" i="5"/>
  <c r="M21" i="5"/>
  <c r="M24" i="5"/>
  <c r="M27" i="5"/>
  <c r="M30" i="5"/>
  <c r="M33" i="5"/>
  <c r="M36" i="5"/>
  <c r="M39" i="5"/>
  <c r="M42" i="5"/>
  <c r="M45" i="5"/>
  <c r="M48" i="5"/>
  <c r="M51" i="5"/>
  <c r="M54" i="5"/>
  <c r="M57" i="5"/>
  <c r="M60" i="5"/>
  <c r="M63" i="5"/>
  <c r="M67" i="5"/>
  <c r="M70" i="5"/>
  <c r="M73" i="5"/>
  <c r="M76" i="5"/>
  <c r="M79" i="5"/>
  <c r="M82" i="5"/>
  <c r="M85" i="5"/>
  <c r="M88" i="5"/>
  <c r="M91" i="5"/>
  <c r="M94" i="5"/>
  <c r="M97" i="5"/>
  <c r="M100" i="5"/>
  <c r="M103" i="5"/>
  <c r="M106" i="5"/>
  <c r="M109" i="5"/>
  <c r="M112" i="5"/>
  <c r="M115" i="5"/>
  <c r="M118" i="5"/>
  <c r="M121" i="5"/>
  <c r="M124" i="5"/>
  <c r="M127" i="5"/>
  <c r="M130" i="5"/>
  <c r="M133" i="5"/>
  <c r="M136" i="5"/>
  <c r="M140" i="5"/>
  <c r="M143" i="5"/>
  <c r="M146" i="5"/>
  <c r="M149" i="5"/>
  <c r="M152" i="5"/>
  <c r="M156" i="5"/>
  <c r="F2" i="3"/>
  <c r="G2" i="3"/>
  <c r="F8" i="3"/>
  <c r="G8" i="3"/>
  <c r="F7" i="3"/>
  <c r="G7" i="3"/>
  <c r="F6" i="3"/>
  <c r="G6" i="3"/>
  <c r="F5" i="3"/>
  <c r="G5" i="3"/>
  <c r="F4" i="3"/>
  <c r="G4" i="3"/>
  <c r="F3" i="3"/>
  <c r="G3" i="3"/>
  <c r="M223" i="5"/>
  <c r="M224" i="5"/>
  <c r="M225" i="5"/>
  <c r="M226" i="5"/>
  <c r="M227" i="5"/>
  <c r="M228" i="5"/>
  <c r="M229" i="5"/>
  <c r="M230" i="5"/>
  <c r="M231" i="5"/>
  <c r="M232" i="5"/>
  <c r="M233" i="5"/>
  <c r="M234" i="5"/>
  <c r="M221" i="5"/>
  <c r="M222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D7" i="3"/>
  <c r="D5" i="3"/>
  <c r="D4" i="3"/>
  <c r="M139" i="5"/>
  <c r="M142" i="5"/>
  <c r="M160" i="5"/>
  <c r="D7" i="6"/>
  <c r="Y10" i="9" s="1"/>
  <c r="D8" i="6"/>
  <c r="D2" i="3"/>
  <c r="V158" i="1"/>
  <c r="W158" i="1"/>
  <c r="V221" i="1"/>
  <c r="W221" i="1" s="1"/>
  <c r="V225" i="1"/>
  <c r="W225" i="1"/>
  <c r="V219" i="1"/>
  <c r="W219" i="1"/>
  <c r="V218" i="1"/>
  <c r="W218" i="1" s="1"/>
  <c r="V217" i="1"/>
  <c r="W217" i="1"/>
  <c r="V216" i="1"/>
  <c r="W216" i="1"/>
  <c r="V182" i="1"/>
  <c r="W182" i="1" s="1"/>
  <c r="V167" i="1"/>
  <c r="W167" i="1" s="1"/>
  <c r="V169" i="1"/>
  <c r="W169" i="1"/>
  <c r="V170" i="1"/>
  <c r="W170" i="1" s="1"/>
  <c r="V174" i="1"/>
  <c r="W174" i="1" s="1"/>
  <c r="V175" i="1"/>
  <c r="W175" i="1"/>
  <c r="V177" i="1"/>
  <c r="W177" i="1" s="1"/>
  <c r="V165" i="1"/>
  <c r="W165" i="1"/>
  <c r="V164" i="1"/>
  <c r="W164" i="1" s="1"/>
  <c r="V161" i="1"/>
  <c r="W161" i="1" s="1"/>
  <c r="V160" i="1"/>
  <c r="W160" i="1"/>
  <c r="V159" i="1"/>
  <c r="W159" i="1"/>
  <c r="V157" i="1"/>
  <c r="W157" i="1" s="1"/>
  <c r="V153" i="1"/>
  <c r="W153" i="1"/>
  <c r="V152" i="1"/>
  <c r="W152" i="1" s="1"/>
  <c r="V150" i="1"/>
  <c r="W150" i="1"/>
  <c r="V149" i="1"/>
  <c r="W149" i="1" s="1"/>
  <c r="V131" i="1"/>
  <c r="W131" i="1" s="1"/>
  <c r="V125" i="1"/>
  <c r="W125" i="1"/>
  <c r="V116" i="1"/>
  <c r="W116" i="1"/>
  <c r="V113" i="1"/>
  <c r="W113" i="1" s="1"/>
  <c r="V110" i="1"/>
  <c r="W110" i="1" s="1"/>
  <c r="V143" i="1"/>
  <c r="W143" i="1" s="1"/>
  <c r="V121" i="1"/>
  <c r="W121" i="1"/>
  <c r="V112" i="1"/>
  <c r="W112" i="1"/>
  <c r="V106" i="1"/>
  <c r="W106" i="1" s="1"/>
  <c r="V88" i="1"/>
  <c r="W88" i="1" s="1"/>
  <c r="V87" i="1"/>
  <c r="W87" i="1"/>
  <c r="V82" i="1"/>
  <c r="W82" i="1" s="1"/>
  <c r="V132" i="1"/>
  <c r="W132" i="1"/>
  <c r="V117" i="1"/>
  <c r="W117" i="1"/>
  <c r="V76" i="1"/>
  <c r="W76" i="1"/>
  <c r="V44" i="1"/>
  <c r="W44" i="1" s="1"/>
  <c r="V29" i="1"/>
  <c r="W29" i="1"/>
  <c r="V28" i="1"/>
  <c r="W28" i="1" s="1"/>
  <c r="V26" i="1"/>
  <c r="W26" i="1"/>
  <c r="V21" i="1"/>
  <c r="W21" i="1"/>
  <c r="V18" i="1"/>
  <c r="W18" i="1"/>
  <c r="V17" i="1"/>
  <c r="W17" i="1"/>
  <c r="V13" i="1"/>
  <c r="W13" i="1"/>
  <c r="V10" i="1"/>
  <c r="W10" i="1"/>
  <c r="V183" i="1"/>
  <c r="W183" i="1"/>
  <c r="V181" i="1"/>
  <c r="W181" i="1" s="1"/>
  <c r="V180" i="1"/>
  <c r="W180" i="1"/>
  <c r="V210" i="1"/>
  <c r="W210" i="1"/>
  <c r="V207" i="1"/>
  <c r="W207" i="1" s="1"/>
  <c r="V186" i="1"/>
  <c r="W186" i="1" s="1"/>
  <c r="V54" i="1"/>
  <c r="W54" i="1"/>
  <c r="V45" i="1"/>
  <c r="W45" i="1"/>
  <c r="V204" i="1"/>
  <c r="W204" i="1"/>
  <c r="V202" i="1"/>
  <c r="W202" i="1" s="1"/>
  <c r="V80" i="1"/>
  <c r="W80" i="1" s="1"/>
  <c r="V74" i="1"/>
  <c r="W74" i="1"/>
  <c r="V71" i="1"/>
  <c r="W71" i="1" s="1"/>
  <c r="V37" i="1"/>
  <c r="W37" i="1"/>
  <c r="V31" i="1"/>
  <c r="W31" i="1"/>
  <c r="V206" i="1"/>
  <c r="W206" i="1" s="1"/>
  <c r="V211" i="1"/>
  <c r="W211" i="1" s="1"/>
  <c r="V205" i="1"/>
  <c r="W205" i="1"/>
  <c r="V189" i="1"/>
  <c r="W189" i="1" s="1"/>
  <c r="V192" i="1"/>
  <c r="W192" i="1"/>
  <c r="V194" i="1"/>
  <c r="W194" i="1"/>
  <c r="V5" i="1"/>
  <c r="W5" i="1" s="1"/>
  <c r="V185" i="1"/>
  <c r="W185" i="1"/>
  <c r="U235" i="1"/>
  <c r="V235" i="1"/>
  <c r="W235" i="1"/>
  <c r="U233" i="1"/>
  <c r="V233" i="1"/>
  <c r="W233" i="1"/>
  <c r="U230" i="1"/>
  <c r="U229" i="1"/>
  <c r="V229" i="1"/>
  <c r="W229" i="1" s="1"/>
  <c r="U228" i="1"/>
  <c r="V228" i="1"/>
  <c r="W228" i="1" s="1"/>
  <c r="U227" i="1"/>
  <c r="V227" i="1"/>
  <c r="W227" i="1" s="1"/>
  <c r="U226" i="1"/>
  <c r="V226" i="1" s="1"/>
  <c r="W226" i="1" s="1"/>
  <c r="V230" i="1"/>
  <c r="W230" i="1" s="1"/>
  <c r="B12" i="3" l="1"/>
  <c r="D13" i="2" s="1"/>
  <c r="F13" i="2" s="1"/>
  <c r="H13" i="2" s="1"/>
  <c r="AF17" i="9" s="1"/>
  <c r="I8" i="9"/>
  <c r="D22" i="6"/>
  <c r="AD17" i="9"/>
  <c r="B13" i="3"/>
  <c r="C12" i="3" s="1"/>
  <c r="D3" i="2" s="1"/>
  <c r="J9" i="9"/>
  <c r="D8" i="3"/>
  <c r="J14" i="9"/>
  <c r="D6" i="3"/>
  <c r="J12" i="9"/>
  <c r="B22" i="3"/>
  <c r="C19" i="3"/>
  <c r="D28" i="6"/>
  <c r="E27" i="6" s="1"/>
  <c r="D10" i="2"/>
  <c r="F10" i="2" s="1"/>
  <c r="AD14" i="9" s="1"/>
  <c r="F3" i="2"/>
  <c r="F14" i="2" s="1"/>
  <c r="AA104" i="1"/>
  <c r="AD7" i="9" l="1"/>
  <c r="AD18" i="9"/>
  <c r="U72" i="1"/>
  <c r="V72" i="1" s="1"/>
  <c r="W72" i="1" s="1"/>
  <c r="U111" i="1"/>
  <c r="V111" i="1" s="1"/>
  <c r="W111" i="1" s="1"/>
  <c r="U4" i="1"/>
  <c r="V4" i="1" s="1"/>
  <c r="W4" i="1" s="1"/>
  <c r="U6" i="1"/>
  <c r="V6" i="1" s="1"/>
  <c r="W6" i="1" s="1"/>
  <c r="U7" i="1"/>
  <c r="V7" i="1" s="1"/>
  <c r="W7" i="1" s="1"/>
  <c r="U8" i="1"/>
  <c r="U9" i="1"/>
  <c r="V9" i="1" s="1"/>
  <c r="W9" i="1" s="1"/>
  <c r="U11" i="1"/>
  <c r="V11" i="1" s="1"/>
  <c r="W11" i="1" s="1"/>
  <c r="U12" i="1"/>
  <c r="V12" i="1" s="1"/>
  <c r="W12" i="1" s="1"/>
  <c r="U14" i="1"/>
  <c r="V14" i="1" s="1"/>
  <c r="W14" i="1" s="1"/>
  <c r="U15" i="1"/>
  <c r="U16" i="1"/>
  <c r="V16" i="1" s="1"/>
  <c r="W16" i="1" s="1"/>
  <c r="U19" i="1"/>
  <c r="V19" i="1" s="1"/>
  <c r="W19" i="1" s="1"/>
  <c r="U20" i="1"/>
  <c r="V20" i="1" s="1"/>
  <c r="W20" i="1" s="1"/>
  <c r="U22" i="1"/>
  <c r="V22" i="1" s="1"/>
  <c r="W22" i="1" s="1"/>
  <c r="U23" i="1"/>
  <c r="V23" i="1" s="1"/>
  <c r="W23" i="1" s="1"/>
  <c r="U24" i="1"/>
  <c r="V24" i="1" s="1"/>
  <c r="W24" i="1" s="1"/>
  <c r="U25" i="1"/>
  <c r="V25" i="1" s="1"/>
  <c r="W25" i="1" s="1"/>
  <c r="U27" i="1"/>
  <c r="V27" i="1" s="1"/>
  <c r="W27" i="1" s="1"/>
  <c r="U30" i="1"/>
  <c r="V30" i="1" s="1"/>
  <c r="W30" i="1" s="1"/>
  <c r="U32" i="1"/>
  <c r="V32" i="1" s="1"/>
  <c r="W32" i="1" s="1"/>
  <c r="U33" i="1"/>
  <c r="V33" i="1" s="1"/>
  <c r="W33" i="1" s="1"/>
  <c r="U34" i="1"/>
  <c r="U35" i="1"/>
  <c r="V35" i="1" s="1"/>
  <c r="W35" i="1" s="1"/>
  <c r="U36" i="1"/>
  <c r="V36" i="1" s="1"/>
  <c r="W36" i="1" s="1"/>
  <c r="U38" i="1"/>
  <c r="V38" i="1" s="1"/>
  <c r="W38" i="1" s="1"/>
  <c r="U39" i="1"/>
  <c r="V39" i="1" s="1"/>
  <c r="W39" i="1" s="1"/>
  <c r="U40" i="1"/>
  <c r="V40" i="1" s="1"/>
  <c r="W40" i="1" s="1"/>
  <c r="U41" i="1"/>
  <c r="V41" i="1" s="1"/>
  <c r="W41" i="1" s="1"/>
  <c r="U42" i="1"/>
  <c r="V42" i="1" s="1"/>
  <c r="W42" i="1" s="1"/>
  <c r="U43" i="1"/>
  <c r="V43" i="1" s="1"/>
  <c r="W43" i="1" s="1"/>
  <c r="U46" i="1"/>
  <c r="V46" i="1" s="1"/>
  <c r="W46" i="1" s="1"/>
  <c r="U47" i="1"/>
  <c r="V47" i="1" s="1"/>
  <c r="W47" i="1" s="1"/>
  <c r="U48" i="1"/>
  <c r="V48" i="1" s="1"/>
  <c r="W48" i="1" s="1"/>
  <c r="U49" i="1"/>
  <c r="V49" i="1" s="1"/>
  <c r="W49" i="1" s="1"/>
  <c r="U50" i="1"/>
  <c r="U51" i="1"/>
  <c r="V51" i="1" s="1"/>
  <c r="W51" i="1" s="1"/>
  <c r="U52" i="1"/>
  <c r="V52" i="1" s="1"/>
  <c r="W52" i="1" s="1"/>
  <c r="U53" i="1"/>
  <c r="V53" i="1" s="1"/>
  <c r="W53" i="1" s="1"/>
  <c r="U55" i="1"/>
  <c r="V55" i="1" s="1"/>
  <c r="W55" i="1" s="1"/>
  <c r="U56" i="1"/>
  <c r="V56" i="1" s="1"/>
  <c r="W56" i="1" s="1"/>
  <c r="U57" i="1"/>
  <c r="V57" i="1" s="1"/>
  <c r="W57" i="1" s="1"/>
  <c r="U58" i="1"/>
  <c r="V58" i="1" s="1"/>
  <c r="W58" i="1" s="1"/>
  <c r="U59" i="1"/>
  <c r="V59" i="1" s="1"/>
  <c r="W59" i="1" s="1"/>
  <c r="U60" i="1"/>
  <c r="V60" i="1" s="1"/>
  <c r="W60" i="1" s="1"/>
  <c r="U61" i="1"/>
  <c r="V61" i="1" s="1"/>
  <c r="W61" i="1" s="1"/>
  <c r="U62" i="1"/>
  <c r="V62" i="1" s="1"/>
  <c r="W62" i="1" s="1"/>
  <c r="U63" i="1"/>
  <c r="V63" i="1" s="1"/>
  <c r="W63" i="1" s="1"/>
  <c r="U64" i="1"/>
  <c r="V64" i="1" s="1"/>
  <c r="W64" i="1" s="1"/>
  <c r="U65" i="1"/>
  <c r="V65" i="1" s="1"/>
  <c r="W65" i="1" s="1"/>
  <c r="U66" i="1"/>
  <c r="V66" i="1" s="1"/>
  <c r="W66" i="1" s="1"/>
  <c r="U67" i="1"/>
  <c r="V67" i="1" s="1"/>
  <c r="W67" i="1" s="1"/>
  <c r="U68" i="1"/>
  <c r="V68" i="1" s="1"/>
  <c r="W68" i="1" s="1"/>
  <c r="U69" i="1"/>
  <c r="V69" i="1" s="1"/>
  <c r="W69" i="1" s="1"/>
  <c r="U70" i="1"/>
  <c r="V70" i="1" s="1"/>
  <c r="W70" i="1" s="1"/>
  <c r="U73" i="1"/>
  <c r="V73" i="1" s="1"/>
  <c r="W73" i="1" s="1"/>
  <c r="U75" i="1"/>
  <c r="V75" i="1" s="1"/>
  <c r="W75" i="1" s="1"/>
  <c r="U77" i="1"/>
  <c r="V77" i="1" s="1"/>
  <c r="W77" i="1" s="1"/>
  <c r="U78" i="1"/>
  <c r="V78" i="1" s="1"/>
  <c r="W78" i="1" s="1"/>
  <c r="U79" i="1"/>
  <c r="V79" i="1" s="1"/>
  <c r="W79" i="1" s="1"/>
  <c r="U81" i="1"/>
  <c r="V81" i="1" s="1"/>
  <c r="W81" i="1" s="1"/>
  <c r="U83" i="1"/>
  <c r="V83" i="1" s="1"/>
  <c r="W83" i="1" s="1"/>
  <c r="U84" i="1"/>
  <c r="V84" i="1" s="1"/>
  <c r="W84" i="1" s="1"/>
  <c r="U85" i="1"/>
  <c r="V85" i="1" s="1"/>
  <c r="W85" i="1" s="1"/>
  <c r="U86" i="1"/>
  <c r="U89" i="1"/>
  <c r="V89" i="1" s="1"/>
  <c r="W89" i="1" s="1"/>
  <c r="U90" i="1"/>
  <c r="V90" i="1" s="1"/>
  <c r="W90" i="1" s="1"/>
  <c r="U91" i="1"/>
  <c r="V91" i="1" s="1"/>
  <c r="W91" i="1" s="1"/>
  <c r="U92" i="1"/>
  <c r="U93" i="1"/>
  <c r="V93" i="1" s="1"/>
  <c r="W93" i="1" s="1"/>
  <c r="U94" i="1"/>
  <c r="V94" i="1" s="1"/>
  <c r="W94" i="1" s="1"/>
  <c r="U95" i="1"/>
  <c r="V95" i="1" s="1"/>
  <c r="W95" i="1" s="1"/>
  <c r="U96" i="1"/>
  <c r="V96" i="1" s="1"/>
  <c r="W96" i="1" s="1"/>
  <c r="U97" i="1"/>
  <c r="V97" i="1" s="1"/>
  <c r="W97" i="1" s="1"/>
  <c r="U98" i="1"/>
  <c r="V98" i="1" s="1"/>
  <c r="W98" i="1" s="1"/>
  <c r="U99" i="1"/>
  <c r="V99" i="1" s="1"/>
  <c r="W99" i="1" s="1"/>
  <c r="U100" i="1"/>
  <c r="V100" i="1" s="1"/>
  <c r="W100" i="1" s="1"/>
  <c r="U101" i="1"/>
  <c r="V101" i="1" s="1"/>
  <c r="W101" i="1" s="1"/>
  <c r="U102" i="1"/>
  <c r="V102" i="1" s="1"/>
  <c r="W102" i="1" s="1"/>
  <c r="U103" i="1"/>
  <c r="V103" i="1" s="1"/>
  <c r="W103" i="1" s="1"/>
  <c r="U105" i="1"/>
  <c r="V105" i="1" s="1"/>
  <c r="W105" i="1" s="1"/>
  <c r="U107" i="1"/>
  <c r="V107" i="1" s="1"/>
  <c r="W107" i="1" s="1"/>
  <c r="U108" i="1"/>
  <c r="V108" i="1" s="1"/>
  <c r="W108" i="1" s="1"/>
  <c r="U109" i="1"/>
  <c r="V109" i="1" s="1"/>
  <c r="W109" i="1" s="1"/>
  <c r="U114" i="1"/>
  <c r="V114" i="1" s="1"/>
  <c r="W114" i="1" s="1"/>
  <c r="U115" i="1"/>
  <c r="V115" i="1" s="1"/>
  <c r="W115" i="1" s="1"/>
  <c r="U118" i="1"/>
  <c r="V118" i="1" s="1"/>
  <c r="W118" i="1" s="1"/>
  <c r="U119" i="1"/>
  <c r="V119" i="1" s="1"/>
  <c r="W119" i="1" s="1"/>
  <c r="U120" i="1"/>
  <c r="V120" i="1" s="1"/>
  <c r="W120" i="1" s="1"/>
  <c r="U122" i="1"/>
  <c r="V122" i="1" s="1"/>
  <c r="W122" i="1" s="1"/>
  <c r="U123" i="1"/>
  <c r="V123" i="1" s="1"/>
  <c r="W123" i="1" s="1"/>
  <c r="U124" i="1"/>
  <c r="V124" i="1" s="1"/>
  <c r="W124" i="1" s="1"/>
  <c r="U126" i="1"/>
  <c r="V126" i="1" s="1"/>
  <c r="W126" i="1" s="1"/>
  <c r="U127" i="1"/>
  <c r="V127" i="1" s="1"/>
  <c r="W127" i="1" s="1"/>
  <c r="U128" i="1"/>
  <c r="V128" i="1" s="1"/>
  <c r="W128" i="1" s="1"/>
  <c r="U129" i="1"/>
  <c r="V129" i="1" s="1"/>
  <c r="W129" i="1" s="1"/>
  <c r="U130" i="1"/>
  <c r="V130" i="1" s="1"/>
  <c r="W130" i="1" s="1"/>
  <c r="U133" i="1"/>
  <c r="V133" i="1" s="1"/>
  <c r="W133" i="1" s="1"/>
  <c r="U134" i="1"/>
  <c r="V134" i="1" s="1"/>
  <c r="W134" i="1" s="1"/>
  <c r="U135" i="1"/>
  <c r="V135" i="1" s="1"/>
  <c r="W135" i="1" s="1"/>
  <c r="U136" i="1"/>
  <c r="V136" i="1" s="1"/>
  <c r="W136" i="1" s="1"/>
  <c r="U137" i="1"/>
  <c r="V137" i="1" s="1"/>
  <c r="W137" i="1" s="1"/>
  <c r="U138" i="1"/>
  <c r="V138" i="1" s="1"/>
  <c r="W138" i="1" s="1"/>
  <c r="U139" i="1"/>
  <c r="V139" i="1" s="1"/>
  <c r="W139" i="1" s="1"/>
  <c r="U140" i="1"/>
  <c r="V140" i="1" s="1"/>
  <c r="W140" i="1" s="1"/>
  <c r="U141" i="1"/>
  <c r="V141" i="1" s="1"/>
  <c r="W141" i="1" s="1"/>
  <c r="U142" i="1"/>
  <c r="V142" i="1" s="1"/>
  <c r="W142" i="1" s="1"/>
  <c r="U144" i="1"/>
  <c r="V144" i="1" s="1"/>
  <c r="W144" i="1" s="1"/>
  <c r="U145" i="1"/>
  <c r="V145" i="1" s="1"/>
  <c r="W145" i="1" s="1"/>
  <c r="U146" i="1"/>
  <c r="V146" i="1" s="1"/>
  <c r="W146" i="1" s="1"/>
  <c r="U147" i="1"/>
  <c r="V147" i="1" s="1"/>
  <c r="W147" i="1" s="1"/>
  <c r="U148" i="1"/>
  <c r="V148" i="1" s="1"/>
  <c r="W148" i="1" s="1"/>
  <c r="U151" i="1"/>
  <c r="V151" i="1" s="1"/>
  <c r="W151" i="1" s="1"/>
  <c r="U154" i="1"/>
  <c r="V154" i="1" s="1"/>
  <c r="W154" i="1" s="1"/>
  <c r="U155" i="1"/>
  <c r="V155" i="1" s="1"/>
  <c r="W155" i="1" s="1"/>
  <c r="U156" i="1"/>
  <c r="V156" i="1" s="1"/>
  <c r="W156" i="1" s="1"/>
  <c r="U162" i="1"/>
  <c r="V162" i="1" s="1"/>
  <c r="W162" i="1" s="1"/>
  <c r="U163" i="1"/>
  <c r="V163" i="1" s="1"/>
  <c r="W163" i="1" s="1"/>
  <c r="U166" i="1"/>
  <c r="V166" i="1" s="1"/>
  <c r="W166" i="1" s="1"/>
  <c r="U168" i="1"/>
  <c r="V168" i="1" s="1"/>
  <c r="W168" i="1" s="1"/>
  <c r="U171" i="1"/>
  <c r="V171" i="1" s="1"/>
  <c r="W171" i="1" s="1"/>
  <c r="U172" i="1"/>
  <c r="V172" i="1" s="1"/>
  <c r="W172" i="1" s="1"/>
  <c r="U173" i="1"/>
  <c r="V173" i="1" s="1"/>
  <c r="W173" i="1" s="1"/>
  <c r="U176" i="1"/>
  <c r="V176" i="1" s="1"/>
  <c r="W176" i="1" s="1"/>
  <c r="U178" i="1"/>
  <c r="V178" i="1" s="1"/>
  <c r="W178" i="1" s="1"/>
  <c r="U179" i="1"/>
  <c r="V179" i="1" s="1"/>
  <c r="W179" i="1" s="1"/>
  <c r="U184" i="1"/>
  <c r="V184" i="1" s="1"/>
  <c r="W184" i="1" s="1"/>
  <c r="U187" i="1"/>
  <c r="V187" i="1" s="1"/>
  <c r="W187" i="1" s="1"/>
  <c r="U188" i="1"/>
  <c r="V188" i="1" s="1"/>
  <c r="W188" i="1" s="1"/>
  <c r="U190" i="1"/>
  <c r="V190" i="1" s="1"/>
  <c r="W190" i="1" s="1"/>
  <c r="U191" i="1"/>
  <c r="V191" i="1" s="1"/>
  <c r="W191" i="1" s="1"/>
  <c r="U193" i="1"/>
  <c r="V193" i="1" s="1"/>
  <c r="W193" i="1" s="1"/>
  <c r="U195" i="1"/>
  <c r="V195" i="1" s="1"/>
  <c r="W195" i="1" s="1"/>
  <c r="U196" i="1"/>
  <c r="V196" i="1" s="1"/>
  <c r="W196" i="1" s="1"/>
  <c r="U197" i="1"/>
  <c r="V197" i="1" s="1"/>
  <c r="W197" i="1" s="1"/>
  <c r="U198" i="1"/>
  <c r="V198" i="1" s="1"/>
  <c r="W198" i="1" s="1"/>
  <c r="U199" i="1"/>
  <c r="V199" i="1" s="1"/>
  <c r="W199" i="1" s="1"/>
  <c r="U200" i="1"/>
  <c r="V200" i="1" s="1"/>
  <c r="W200" i="1" s="1"/>
  <c r="U201" i="1"/>
  <c r="V201" i="1" s="1"/>
  <c r="W201" i="1" s="1"/>
  <c r="U203" i="1"/>
  <c r="V203" i="1" s="1"/>
  <c r="W203" i="1" s="1"/>
  <c r="U208" i="1"/>
  <c r="V208" i="1" s="1"/>
  <c r="W208" i="1" s="1"/>
  <c r="U209" i="1"/>
  <c r="V209" i="1" s="1"/>
  <c r="W209" i="1" s="1"/>
  <c r="U212" i="1"/>
  <c r="V212" i="1" s="1"/>
  <c r="W212" i="1" s="1"/>
  <c r="U213" i="1"/>
  <c r="V213" i="1" s="1"/>
  <c r="W213" i="1" s="1"/>
  <c r="U214" i="1"/>
  <c r="V214" i="1" s="1"/>
  <c r="W214" i="1" s="1"/>
  <c r="U215" i="1"/>
  <c r="V215" i="1" s="1"/>
  <c r="W215" i="1" s="1"/>
  <c r="U220" i="1"/>
  <c r="V220" i="1" s="1"/>
  <c r="W220" i="1" s="1"/>
  <c r="U222" i="1"/>
  <c r="V222" i="1" s="1"/>
  <c r="W222" i="1" s="1"/>
  <c r="U223" i="1"/>
  <c r="V223" i="1" s="1"/>
  <c r="W223" i="1" s="1"/>
  <c r="U224" i="1"/>
  <c r="V224" i="1" s="1"/>
  <c r="W224" i="1" s="1"/>
  <c r="U3" i="1"/>
  <c r="U234" i="1"/>
  <c r="V234" i="1" s="1"/>
  <c r="W234" i="1" s="1"/>
  <c r="U232" i="1"/>
  <c r="V232" i="1" s="1"/>
  <c r="W232" i="1" s="1"/>
  <c r="U231" i="1"/>
  <c r="V231" i="1" s="1"/>
  <c r="W231" i="1" s="1"/>
  <c r="H3" i="2"/>
  <c r="B23" i="3"/>
  <c r="B24" i="3" s="1"/>
  <c r="D12" i="6"/>
  <c r="B15" i="3"/>
  <c r="B16" i="3"/>
  <c r="D19" i="6"/>
  <c r="H10" i="2"/>
  <c r="AF14" i="9" s="1"/>
  <c r="H14" i="2" l="1"/>
  <c r="AF7" i="9"/>
  <c r="AF18" i="9"/>
  <c r="D23" i="6"/>
  <c r="V3" i="1"/>
  <c r="U1" i="1"/>
  <c r="D38" i="6"/>
  <c r="J7" i="3"/>
  <c r="V92" i="1"/>
  <c r="W92" i="1" s="1"/>
  <c r="D36" i="6"/>
  <c r="J5" i="3"/>
  <c r="D33" i="6"/>
  <c r="Q9" i="9" s="1"/>
  <c r="V86" i="1"/>
  <c r="W86" i="1" s="1"/>
  <c r="J2" i="3"/>
  <c r="K8" i="9" s="1"/>
  <c r="D39" i="6"/>
  <c r="V50" i="1"/>
  <c r="W50" i="1" s="1"/>
  <c r="J8" i="3"/>
  <c r="D35" i="6"/>
  <c r="V34" i="1"/>
  <c r="W34" i="1" s="1"/>
  <c r="J4" i="3"/>
  <c r="D34" i="6"/>
  <c r="V15" i="1"/>
  <c r="W15" i="1" s="1"/>
  <c r="J3" i="3"/>
  <c r="V8" i="1"/>
  <c r="W8" i="1" s="1"/>
  <c r="D37" i="6"/>
  <c r="J6" i="3"/>
  <c r="B17" i="3"/>
  <c r="B29" i="3"/>
  <c r="AO9" i="9" s="1"/>
  <c r="B33" i="3"/>
  <c r="AO13" i="9" s="1"/>
  <c r="B31" i="3"/>
  <c r="AO11" i="9" s="1"/>
  <c r="B30" i="3"/>
  <c r="AO10" i="9" s="1"/>
  <c r="B32" i="3"/>
  <c r="AO12" i="9" s="1"/>
  <c r="B28" i="3"/>
  <c r="AO8" i="9" s="1"/>
  <c r="B27" i="3"/>
  <c r="AO7" i="9" s="1"/>
  <c r="L6" i="3" l="1"/>
  <c r="M12" i="9" s="1"/>
  <c r="K12" i="9"/>
  <c r="F37" i="6"/>
  <c r="S13" i="9" s="1"/>
  <c r="Q13" i="9"/>
  <c r="L3" i="3"/>
  <c r="M9" i="9" s="1"/>
  <c r="K9" i="9"/>
  <c r="F34" i="6"/>
  <c r="S10" i="9" s="1"/>
  <c r="Q10" i="9"/>
  <c r="L4" i="3"/>
  <c r="M10" i="9" s="1"/>
  <c r="K10" i="9"/>
  <c r="F35" i="6"/>
  <c r="S11" i="9" s="1"/>
  <c r="Q11" i="9"/>
  <c r="L8" i="3"/>
  <c r="M14" i="9" s="1"/>
  <c r="K14" i="9"/>
  <c r="F39" i="6"/>
  <c r="S15" i="9" s="1"/>
  <c r="Q15" i="9"/>
  <c r="L5" i="3"/>
  <c r="M11" i="9" s="1"/>
  <c r="K11" i="9"/>
  <c r="F36" i="6"/>
  <c r="S12" i="9" s="1"/>
  <c r="Q12" i="9"/>
  <c r="L7" i="3"/>
  <c r="M13" i="9" s="1"/>
  <c r="K13" i="9"/>
  <c r="F38" i="6"/>
  <c r="S14" i="9" s="1"/>
  <c r="Q14" i="9"/>
  <c r="L2" i="3"/>
  <c r="M8" i="9" s="1"/>
  <c r="J9" i="3"/>
  <c r="F33" i="6"/>
  <c r="D40" i="6"/>
  <c r="Q16" i="9" s="1"/>
  <c r="L9" i="3"/>
  <c r="W3" i="1"/>
  <c r="V1" i="1"/>
  <c r="F40" i="6" l="1"/>
  <c r="S16" i="9" s="1"/>
  <c r="S9" i="9"/>
</calcChain>
</file>

<file path=xl/sharedStrings.xml><?xml version="1.0" encoding="utf-8"?>
<sst xmlns="http://schemas.openxmlformats.org/spreadsheetml/2006/main" count="2818" uniqueCount="484">
  <si>
    <t>Nazwisko</t>
  </si>
  <si>
    <t>Imię</t>
  </si>
  <si>
    <t>Klasa</t>
  </si>
  <si>
    <t>Czy idzie?</t>
  </si>
  <si>
    <t>Osoba towarzysząca?</t>
  </si>
  <si>
    <t>Numer kontaktowy rodzica</t>
  </si>
  <si>
    <t>2025</t>
  </si>
  <si>
    <t>Sty</t>
  </si>
  <si>
    <t>Lut</t>
  </si>
  <si>
    <t>Mar</t>
  </si>
  <si>
    <t>Kwi</t>
  </si>
  <si>
    <t>Maj</t>
  </si>
  <si>
    <t>Cze</t>
  </si>
  <si>
    <t>Lip</t>
  </si>
  <si>
    <t>Sie</t>
  </si>
  <si>
    <t>Wrz</t>
  </si>
  <si>
    <t>Paź</t>
  </si>
  <si>
    <t>Lis</t>
  </si>
  <si>
    <t>Gru</t>
  </si>
  <si>
    <t>Razem</t>
  </si>
  <si>
    <t>Winno byc</t>
  </si>
  <si>
    <t>Delta</t>
  </si>
  <si>
    <t>Status</t>
  </si>
  <si>
    <t>Komentarz</t>
  </si>
  <si>
    <t>Rząsowska</t>
  </si>
  <si>
    <t>Daria</t>
  </si>
  <si>
    <t>3E</t>
  </si>
  <si>
    <t>Tak</t>
  </si>
  <si>
    <t>Szwejda</t>
  </si>
  <si>
    <t>Martyna</t>
  </si>
  <si>
    <t>Surosz</t>
  </si>
  <si>
    <t>Mikołaj</t>
  </si>
  <si>
    <t>3D1</t>
  </si>
  <si>
    <t>Nie</t>
  </si>
  <si>
    <t>Hofman</t>
  </si>
  <si>
    <t>Aleksandra</t>
  </si>
  <si>
    <t>Dworak</t>
  </si>
  <si>
    <t>Patrycja</t>
  </si>
  <si>
    <t>Krzyszkowska</t>
  </si>
  <si>
    <t>Lena</t>
  </si>
  <si>
    <t>Alama</t>
  </si>
  <si>
    <t>Półrola</t>
  </si>
  <si>
    <t>Alan</t>
  </si>
  <si>
    <t>Berski</t>
  </si>
  <si>
    <t>Jakub</t>
  </si>
  <si>
    <t>Ciupa</t>
  </si>
  <si>
    <t>Weronika</t>
  </si>
  <si>
    <t>Zawalska</t>
  </si>
  <si>
    <t>Zofia</t>
  </si>
  <si>
    <t>Rosik</t>
  </si>
  <si>
    <t>Roksana</t>
  </si>
  <si>
    <t>Warda</t>
  </si>
  <si>
    <t>Wiktoria</t>
  </si>
  <si>
    <t>3B</t>
  </si>
  <si>
    <t>Kozłowski</t>
  </si>
  <si>
    <t>Seweryn</t>
  </si>
  <si>
    <t>Nita</t>
  </si>
  <si>
    <t>Oliwia</t>
  </si>
  <si>
    <t>Bergier</t>
  </si>
  <si>
    <t>Natalia</t>
  </si>
  <si>
    <t>Janusz</t>
  </si>
  <si>
    <t>Magda</t>
  </si>
  <si>
    <t>Raczyńska</t>
  </si>
  <si>
    <t>Maja</t>
  </si>
  <si>
    <t>Mordak</t>
  </si>
  <si>
    <t>Nikola</t>
  </si>
  <si>
    <t>Barnaś</t>
  </si>
  <si>
    <t>Iga</t>
  </si>
  <si>
    <t>Palka</t>
  </si>
  <si>
    <t>Proszowska</t>
  </si>
  <si>
    <t>Katarzyna</t>
  </si>
  <si>
    <t>Pietruszyńska</t>
  </si>
  <si>
    <t>Winkler</t>
  </si>
  <si>
    <t>Julia</t>
  </si>
  <si>
    <t>Guszkiewicz</t>
  </si>
  <si>
    <t>Buliński</t>
  </si>
  <si>
    <t>Maciej</t>
  </si>
  <si>
    <t>Pietras</t>
  </si>
  <si>
    <t>Zuzanna</t>
  </si>
  <si>
    <t>Sitek</t>
  </si>
  <si>
    <t>Szymon</t>
  </si>
  <si>
    <t>Wałachowska</t>
  </si>
  <si>
    <t>Czubaj</t>
  </si>
  <si>
    <t>Paulina</t>
  </si>
  <si>
    <t>Błachowicz</t>
  </si>
  <si>
    <t>Pola</t>
  </si>
  <si>
    <t>Kowalczyk</t>
  </si>
  <si>
    <t>3C</t>
  </si>
  <si>
    <t>Zatoń</t>
  </si>
  <si>
    <t>Olga</t>
  </si>
  <si>
    <t>Oleszczak</t>
  </si>
  <si>
    <t>Włodarczyk</t>
  </si>
  <si>
    <t>Karolina</t>
  </si>
  <si>
    <t>Staniszewska</t>
  </si>
  <si>
    <t>Wyczółkowska</t>
  </si>
  <si>
    <t>Milena</t>
  </si>
  <si>
    <t>Kaźmierska</t>
  </si>
  <si>
    <t>Marek</t>
  </si>
  <si>
    <t>Barbara</t>
  </si>
  <si>
    <t>Kozioł</t>
  </si>
  <si>
    <t>Kaja</t>
  </si>
  <si>
    <t>Ciemniewska</t>
  </si>
  <si>
    <t>Piotrowska</t>
  </si>
  <si>
    <t>Cielasińska</t>
  </si>
  <si>
    <t>Osoba wypisała się /50 zł do zwrotu</t>
  </si>
  <si>
    <t>Blanka</t>
  </si>
  <si>
    <t>Kancerek</t>
  </si>
  <si>
    <t>Dawid</t>
  </si>
  <si>
    <t>Bałut</t>
  </si>
  <si>
    <t>Piotr</t>
  </si>
  <si>
    <t>Gębicz</t>
  </si>
  <si>
    <t>Anna</t>
  </si>
  <si>
    <t>Stępień</t>
  </si>
  <si>
    <t>3F</t>
  </si>
  <si>
    <t>Piotr Zięba</t>
  </si>
  <si>
    <t>Majcherek</t>
  </si>
  <si>
    <t>Małgorzata</t>
  </si>
  <si>
    <t>rezygnacja z osoby towarzyszacej 9.10</t>
  </si>
  <si>
    <t>Osiecka</t>
  </si>
  <si>
    <t>Bartek Bałut</t>
  </si>
  <si>
    <t>Przerada</t>
  </si>
  <si>
    <t>Róża</t>
  </si>
  <si>
    <t>rezygnacja 9.10</t>
  </si>
  <si>
    <t>Stojecka</t>
  </si>
  <si>
    <t>Świtoń</t>
  </si>
  <si>
    <t>Dawid Piotr</t>
  </si>
  <si>
    <t>Zaród</t>
  </si>
  <si>
    <t>Kacper</t>
  </si>
  <si>
    <t>Daria Koch</t>
  </si>
  <si>
    <t>Piotr Sobczyk</t>
  </si>
  <si>
    <t>Walicka</t>
  </si>
  <si>
    <t>Michalina</t>
  </si>
  <si>
    <t>Michał Konieczny</t>
  </si>
  <si>
    <t>Żołdak</t>
  </si>
  <si>
    <t>Szymański</t>
  </si>
  <si>
    <t>Adam</t>
  </si>
  <si>
    <t>Janik</t>
  </si>
  <si>
    <t>Marcin Adamcewicz</t>
  </si>
  <si>
    <t>Krupa</t>
  </si>
  <si>
    <t>Antonina</t>
  </si>
  <si>
    <t>Ernest Jędrasiak</t>
  </si>
  <si>
    <t>Radkow</t>
  </si>
  <si>
    <t>Hubert Zakrzewski</t>
  </si>
  <si>
    <t>Os. towarzysząca dodana 7.09.26</t>
  </si>
  <si>
    <t>Jadczyk</t>
  </si>
  <si>
    <t>Skalik</t>
  </si>
  <si>
    <t>Jessica</t>
  </si>
  <si>
    <t>Oskar Gnoiński</t>
  </si>
  <si>
    <t>Wróblewska</t>
  </si>
  <si>
    <t>zrezygnowała z os. Tow.14.10</t>
  </si>
  <si>
    <t>Owsiana</t>
  </si>
  <si>
    <t>Szymon Owsiany</t>
  </si>
  <si>
    <t>Kłosińska</t>
  </si>
  <si>
    <t>Angelika</t>
  </si>
  <si>
    <t>Mielczarek</t>
  </si>
  <si>
    <t>Adasiak</t>
  </si>
  <si>
    <t>Maria Chycka</t>
  </si>
  <si>
    <t>Kołodziejczyk</t>
  </si>
  <si>
    <t>Gwadera</t>
  </si>
  <si>
    <t>Maciejewska</t>
  </si>
  <si>
    <t>Pioruński</t>
  </si>
  <si>
    <t>Wojciech</t>
  </si>
  <si>
    <t>Trzeciak</t>
  </si>
  <si>
    <t>Wilk</t>
  </si>
  <si>
    <t>Dziuba</t>
  </si>
  <si>
    <t>Zuzannna</t>
  </si>
  <si>
    <t>Mateusz</t>
  </si>
  <si>
    <t>Kaczmarek</t>
  </si>
  <si>
    <t>Jan</t>
  </si>
  <si>
    <t>Dryja</t>
  </si>
  <si>
    <t>Klaudia</t>
  </si>
  <si>
    <t>zrezygnowała z Os. Tow. 22.09</t>
  </si>
  <si>
    <t>Pasak</t>
  </si>
  <si>
    <t>Filip</t>
  </si>
  <si>
    <t>Wieczorek</t>
  </si>
  <si>
    <t>Balicka</t>
  </si>
  <si>
    <t>Kuba Zgieł</t>
  </si>
  <si>
    <t>Woldan</t>
  </si>
  <si>
    <t>Antoni</t>
  </si>
  <si>
    <t>3A</t>
  </si>
  <si>
    <t>Pokropski</t>
  </si>
  <si>
    <t>Orzechowski</t>
  </si>
  <si>
    <t>Rafał</t>
  </si>
  <si>
    <t>Karbownik</t>
  </si>
  <si>
    <t>Pokora</t>
  </si>
  <si>
    <t>Nadia</t>
  </si>
  <si>
    <t>Zakrzewska</t>
  </si>
  <si>
    <t>Kukiełka</t>
  </si>
  <si>
    <t>3D</t>
  </si>
  <si>
    <t>Rogulski</t>
  </si>
  <si>
    <t>Zbroja</t>
  </si>
  <si>
    <t>Famulska</t>
  </si>
  <si>
    <t>Julian</t>
  </si>
  <si>
    <t>Koperska</t>
  </si>
  <si>
    <t>Dratwa</t>
  </si>
  <si>
    <t>Hanna</t>
  </si>
  <si>
    <t>Zaskórski</t>
  </si>
  <si>
    <t>Bartek</t>
  </si>
  <si>
    <t>Skóra</t>
  </si>
  <si>
    <t>Natasza</t>
  </si>
  <si>
    <t>Kałuża</t>
  </si>
  <si>
    <t>Roksela</t>
  </si>
  <si>
    <t>Krzysztof</t>
  </si>
  <si>
    <t>Mądry</t>
  </si>
  <si>
    <t>Michał</t>
  </si>
  <si>
    <t>Machnik</t>
  </si>
  <si>
    <t>Dominika</t>
  </si>
  <si>
    <t>Broszkiewicz</t>
  </si>
  <si>
    <t>Maya</t>
  </si>
  <si>
    <t>Wojciechowski</t>
  </si>
  <si>
    <t>Lesińska</t>
  </si>
  <si>
    <t>firek</t>
  </si>
  <si>
    <t>ula</t>
  </si>
  <si>
    <t>makowski</t>
  </si>
  <si>
    <t>hubert</t>
  </si>
  <si>
    <t>Łyp</t>
  </si>
  <si>
    <t>Bianca</t>
  </si>
  <si>
    <t>Bartoń</t>
  </si>
  <si>
    <t>Wilczyński</t>
  </si>
  <si>
    <t>Przemek</t>
  </si>
  <si>
    <t>Grządziel</t>
  </si>
  <si>
    <t>Patryk</t>
  </si>
  <si>
    <t>Łysik</t>
  </si>
  <si>
    <t>Marta</t>
  </si>
  <si>
    <t>Rogalski</t>
  </si>
  <si>
    <t>Pawlik</t>
  </si>
  <si>
    <t>Amelia</t>
  </si>
  <si>
    <t>Kowalik</t>
  </si>
  <si>
    <t>Cyprian</t>
  </si>
  <si>
    <t>Habel</t>
  </si>
  <si>
    <t>Drozdek</t>
  </si>
  <si>
    <t>Adam Rusajczyk;zmiana 9.10</t>
  </si>
  <si>
    <t>Kopka</t>
  </si>
  <si>
    <t>Zmiana decyzji 12.10 na bez os. tow.</t>
  </si>
  <si>
    <t>Ościk</t>
  </si>
  <si>
    <t>Smyk</t>
  </si>
  <si>
    <t>Borowski</t>
  </si>
  <si>
    <t>Posak</t>
  </si>
  <si>
    <t>Kędzierska</t>
  </si>
  <si>
    <t>Domińczyk</t>
  </si>
  <si>
    <t>Ludwin</t>
  </si>
  <si>
    <t>Maszczyk</t>
  </si>
  <si>
    <t>Knysiak</t>
  </si>
  <si>
    <t>Siejka</t>
  </si>
  <si>
    <t>Adrianna</t>
  </si>
  <si>
    <t>Kazior</t>
  </si>
  <si>
    <t>Suś</t>
  </si>
  <si>
    <t>Czarnecka</t>
  </si>
  <si>
    <t>Dagmara</t>
  </si>
  <si>
    <t>Zielińska</t>
  </si>
  <si>
    <t>Goździkowska</t>
  </si>
  <si>
    <t>Majkowska</t>
  </si>
  <si>
    <t>Michalska</t>
  </si>
  <si>
    <t>Grzybowska</t>
  </si>
  <si>
    <t>Gurazda</t>
  </si>
  <si>
    <t>Niebelska</t>
  </si>
  <si>
    <t>Zwierzyńska</t>
  </si>
  <si>
    <t>Kinga</t>
  </si>
  <si>
    <t>Krauze</t>
  </si>
  <si>
    <t>Nocuń</t>
  </si>
  <si>
    <t>Mentek</t>
  </si>
  <si>
    <t>Jabłecka</t>
  </si>
  <si>
    <t>Alicja</t>
  </si>
  <si>
    <t>Marcin</t>
  </si>
  <si>
    <t>Oliwer</t>
  </si>
  <si>
    <t>Maligłówka</t>
  </si>
  <si>
    <t>Kamila</t>
  </si>
  <si>
    <t>Skupiński</t>
  </si>
  <si>
    <t>Młynarz</t>
  </si>
  <si>
    <t>Borowiec</t>
  </si>
  <si>
    <t>Kopcik</t>
  </si>
  <si>
    <t>Dratwiński</t>
  </si>
  <si>
    <t>Hubert</t>
  </si>
  <si>
    <t>Wtorkowski</t>
  </si>
  <si>
    <t>Zawadzka</t>
  </si>
  <si>
    <t>Szablewski</t>
  </si>
  <si>
    <t>Natalia Bryl;zmiana 9.10</t>
  </si>
  <si>
    <t>Pluta</t>
  </si>
  <si>
    <t>Mazur</t>
  </si>
  <si>
    <t>Ada</t>
  </si>
  <si>
    <t>Szustakiewicz</t>
  </si>
  <si>
    <t>Banaszczyk</t>
  </si>
  <si>
    <t>Plucińska</t>
  </si>
  <si>
    <t>Dzięgowska</t>
  </si>
  <si>
    <t>Joanna</t>
  </si>
  <si>
    <t>Dudzic</t>
  </si>
  <si>
    <t>Oliwier</t>
  </si>
  <si>
    <t>zmienione 7.10</t>
  </si>
  <si>
    <t>Andrzejczyk</t>
  </si>
  <si>
    <t>Burda</t>
  </si>
  <si>
    <t>Marcel</t>
  </si>
  <si>
    <t>Krogulec</t>
  </si>
  <si>
    <t>Bartosik</t>
  </si>
  <si>
    <t>Hajdas</t>
  </si>
  <si>
    <t>Pichit</t>
  </si>
  <si>
    <t>Dominik</t>
  </si>
  <si>
    <t>Piekarska</t>
  </si>
  <si>
    <t>Veremii</t>
  </si>
  <si>
    <t>Anastasiia</t>
  </si>
  <si>
    <t>Kajetan</t>
  </si>
  <si>
    <t>Grabowska</t>
  </si>
  <si>
    <t>Kalynovska</t>
  </si>
  <si>
    <t>Oleksandra</t>
  </si>
  <si>
    <t>Wilczek</t>
  </si>
  <si>
    <t>Kurek</t>
  </si>
  <si>
    <t>Wiktor</t>
  </si>
  <si>
    <t>Banasiewicz</t>
  </si>
  <si>
    <t>Sarna</t>
  </si>
  <si>
    <t>Celina</t>
  </si>
  <si>
    <t>Spruch</t>
  </si>
  <si>
    <t>Broniszewska</t>
  </si>
  <si>
    <t>Szymczykiewicz</t>
  </si>
  <si>
    <t>Łęgowik</t>
  </si>
  <si>
    <t>Pazera</t>
  </si>
  <si>
    <t>Kwiecień</t>
  </si>
  <si>
    <t>Bartosz</t>
  </si>
  <si>
    <t>Skulimowski</t>
  </si>
  <si>
    <t>Igor</t>
  </si>
  <si>
    <t>Kozłowska</t>
  </si>
  <si>
    <t>Pikiel</t>
  </si>
  <si>
    <t>Rochowska</t>
  </si>
  <si>
    <t>Zborowska</t>
  </si>
  <si>
    <t>Magdalena</t>
  </si>
  <si>
    <t>lebelt</t>
  </si>
  <si>
    <t>zuzanna</t>
  </si>
  <si>
    <t>Makowski</t>
  </si>
  <si>
    <t>Doroziński</t>
  </si>
  <si>
    <t>Dobosz</t>
  </si>
  <si>
    <t>Maria</t>
  </si>
  <si>
    <t>Bartnik</t>
  </si>
  <si>
    <t>Smolarek</t>
  </si>
  <si>
    <t>Nowak</t>
  </si>
  <si>
    <t>Orsicz</t>
  </si>
  <si>
    <t>Piątkowski</t>
  </si>
  <si>
    <t>Łukasz</t>
  </si>
  <si>
    <t>Zmiana decyzji 25.09 na bez os. tow.</t>
  </si>
  <si>
    <t>Woźniak</t>
  </si>
  <si>
    <t>Buc</t>
  </si>
  <si>
    <t>Sara</t>
  </si>
  <si>
    <t>Rekhviashvili</t>
  </si>
  <si>
    <t>Depta</t>
  </si>
  <si>
    <t>Łągiewka</t>
  </si>
  <si>
    <t>Stępniewska</t>
  </si>
  <si>
    <t>Cyniak</t>
  </si>
  <si>
    <t>Płomiński</t>
  </si>
  <si>
    <t>Majak</t>
  </si>
  <si>
    <t>Frankowska</t>
  </si>
  <si>
    <t>Zosia</t>
  </si>
  <si>
    <t>Tomala</t>
  </si>
  <si>
    <t>Walada</t>
  </si>
  <si>
    <t>Liliana</t>
  </si>
  <si>
    <t>Fila</t>
  </si>
  <si>
    <t>Michałowski-Bryła</t>
  </si>
  <si>
    <t>Karol</t>
  </si>
  <si>
    <t>Opis</t>
  </si>
  <si>
    <t>Umowa done?</t>
  </si>
  <si>
    <t>Zaliczka done?</t>
  </si>
  <si>
    <t>Ilość</t>
  </si>
  <si>
    <t>Cena</t>
  </si>
  <si>
    <t>Koszt</t>
  </si>
  <si>
    <t>Zaliczka</t>
  </si>
  <si>
    <t>Pozostało</t>
  </si>
  <si>
    <r>
      <rPr>
        <sz val="11"/>
        <color rgb="FF000000"/>
        <rFont val="Aptos"/>
      </rPr>
      <t>Sala  uczniowie</t>
    </r>
    <r>
      <rPr>
        <i/>
        <sz val="9"/>
        <color rgb="FF000000"/>
        <rFont val="Aptos"/>
      </rPr>
      <t>(PortoFine)</t>
    </r>
  </si>
  <si>
    <t>Zaliczka Michał Krzyszkowski</t>
  </si>
  <si>
    <r>
      <rPr>
        <sz val="11"/>
        <color rgb="FF000000"/>
        <rFont val="Aptos"/>
      </rPr>
      <t xml:space="preserve">Goście/pedagodzy/obsługa </t>
    </r>
    <r>
      <rPr>
        <i/>
        <sz val="9"/>
        <color rgb="FFFF0000"/>
        <rFont val="Aptos"/>
      </rPr>
      <t>(PortoFine_na każde 100 osoób 10 jest za darmo na sali)</t>
    </r>
  </si>
  <si>
    <r>
      <rPr>
        <sz val="11"/>
        <color rgb="FF000000"/>
        <rFont val="Aptos"/>
      </rPr>
      <t xml:space="preserve">DJ </t>
    </r>
    <r>
      <rPr>
        <i/>
        <sz val="9"/>
        <color rgb="FF000000"/>
        <rFont val="Aptos"/>
      </rPr>
      <t>(Best Party Grupa Eventowa)</t>
    </r>
  </si>
  <si>
    <t>Zaliczka Aneta Kanafa</t>
  </si>
  <si>
    <r>
      <rPr>
        <sz val="11"/>
        <color rgb="FF000000"/>
        <rFont val="Aptos"/>
      </rPr>
      <t>Fotograf</t>
    </r>
    <r>
      <rPr>
        <i/>
        <sz val="9"/>
        <color rgb="FF000000"/>
        <rFont val="Aptos"/>
      </rPr>
      <t>(FVB)</t>
    </r>
  </si>
  <si>
    <r>
      <rPr>
        <sz val="11"/>
        <color rgb="FF000000"/>
        <rFont val="Aptos"/>
      </rPr>
      <t>Ścianka</t>
    </r>
    <r>
      <rPr>
        <i/>
        <sz val="9"/>
        <color rgb="FF000000"/>
        <rFont val="Aptos"/>
      </rPr>
      <t>(Anna Muskała)</t>
    </r>
  </si>
  <si>
    <t>Opieka karetki</t>
  </si>
  <si>
    <t>Ubezpieczenie</t>
  </si>
  <si>
    <t>Napoje gazowane [l] -&gt;1,1l/os</t>
  </si>
  <si>
    <t>Kwiaty dla Nauczycieli</t>
  </si>
  <si>
    <t>Polonez_nauka [h] (Verto)</t>
  </si>
  <si>
    <t>Koszty dodatkowe</t>
  </si>
  <si>
    <r>
      <rPr>
        <i/>
        <sz val="10"/>
        <color rgb="FF000000"/>
        <rFont val="Aptos"/>
      </rPr>
      <t>zakup Kasetki na pieniądze 75.85 (za</t>
    </r>
    <r>
      <rPr>
        <i/>
        <sz val="10"/>
        <color rgb="FF70AD47"/>
        <rFont val="Aptos"/>
      </rPr>
      <t>płac</t>
    </r>
    <r>
      <rPr>
        <i/>
        <sz val="10"/>
        <color rgb="FF000000"/>
        <rFont val="Aptos"/>
      </rPr>
      <t>one)-&gt; Zaiks i inne 1100 zł(do opłacenia)</t>
    </r>
  </si>
  <si>
    <t>Total</t>
  </si>
  <si>
    <t>KLASA</t>
  </si>
  <si>
    <t># UCZNIÓW (którzy idą)</t>
  </si>
  <si>
    <t># OS. Tow.</t>
  </si>
  <si>
    <t>Total Klasa</t>
  </si>
  <si>
    <t>Ilość uczniów w klasie</t>
  </si>
  <si>
    <t>% ankiety</t>
  </si>
  <si>
    <t>brakuje</t>
  </si>
  <si>
    <t>ilość odpowiedzi</t>
  </si>
  <si>
    <t>Składki_winno być</t>
  </si>
  <si>
    <t>Składki zebrane</t>
  </si>
  <si>
    <t>PODSUMOWANIE</t>
  </si>
  <si>
    <t>Ilość uczniów</t>
  </si>
  <si>
    <t>Ilośc osoób towarzyszących</t>
  </si>
  <si>
    <t>Ilość osoób rodzice + obsługa + goście</t>
  </si>
  <si>
    <t>do ustalenia</t>
  </si>
  <si>
    <t>Koszt sali</t>
  </si>
  <si>
    <t>Koszty pozostałe</t>
  </si>
  <si>
    <t>Koszty Total</t>
  </si>
  <si>
    <t>Składka na ucznia</t>
  </si>
  <si>
    <t>Składka osoba towarzysząca</t>
  </si>
  <si>
    <t>BUDŻET</t>
  </si>
  <si>
    <t>WYDATKI</t>
  </si>
  <si>
    <t>DELTA</t>
  </si>
  <si>
    <t>Zwrot per klasa</t>
  </si>
  <si>
    <t>Ilość osób:</t>
  </si>
  <si>
    <t>Ilość osób w klasach</t>
  </si>
  <si>
    <t>Ilość osób, które idę na studniówkę</t>
  </si>
  <si>
    <t>Ilość osób towarzyszących</t>
  </si>
  <si>
    <t>ilość uczniowie + osoby tow.</t>
  </si>
  <si>
    <t>Umowa</t>
  </si>
  <si>
    <r>
      <rPr>
        <sz val="11"/>
        <color rgb="FF000000"/>
        <rFont val="Aptos"/>
      </rPr>
      <t xml:space="preserve">Ilość osób 3-cich </t>
    </r>
    <r>
      <rPr>
        <i/>
        <sz val="9"/>
        <color rgb="FF000000"/>
        <rFont val="Aptos"/>
      </rPr>
      <t>(DJ, Foto, Goście,Rodzice)</t>
    </r>
  </si>
  <si>
    <t>do potwierdzenia</t>
  </si>
  <si>
    <t>Wydatki:</t>
  </si>
  <si>
    <r>
      <rPr>
        <sz val="11"/>
        <color rgb="FF000000"/>
        <rFont val="Aptos"/>
      </rPr>
      <t xml:space="preserve">Sala  uczniowie </t>
    </r>
    <r>
      <rPr>
        <i/>
        <sz val="10"/>
        <color rgb="FF000000"/>
        <rFont val="Aptos"/>
      </rPr>
      <t>(PortoFine)</t>
    </r>
  </si>
  <si>
    <r>
      <t xml:space="preserve">DJ </t>
    </r>
    <r>
      <rPr>
        <i/>
        <sz val="10"/>
        <color rgb="FF000000"/>
        <rFont val="Aptos"/>
      </rPr>
      <t>(Best Party Grupa Eventowa)</t>
    </r>
  </si>
  <si>
    <r>
      <rPr>
        <sz val="11"/>
        <color rgb="FF000000"/>
        <rFont val="Aptos"/>
      </rPr>
      <t xml:space="preserve">Fotograf </t>
    </r>
    <r>
      <rPr>
        <i/>
        <sz val="10"/>
        <color rgb="FF000000"/>
        <rFont val="Aptos"/>
      </rPr>
      <t>(FVB)</t>
    </r>
  </si>
  <si>
    <r>
      <t xml:space="preserve">Ścianka </t>
    </r>
    <r>
      <rPr>
        <i/>
        <sz val="10"/>
        <color rgb="FF000000"/>
        <rFont val="Aptos"/>
      </rPr>
      <t>(Anna Muskała)</t>
    </r>
  </si>
  <si>
    <r>
      <rPr>
        <sz val="11"/>
        <color rgb="FF000000"/>
        <rFont val="Aptos"/>
      </rPr>
      <t>Koszty dodatkowe</t>
    </r>
    <r>
      <rPr>
        <i/>
        <sz val="10"/>
        <color rgb="FF000000"/>
        <rFont val="Aptos"/>
      </rPr>
      <t>(założyłem po 10 zł/os na nieprzewidziane wydatki)</t>
    </r>
  </si>
  <si>
    <t>Składka:</t>
  </si>
  <si>
    <t>Składka per uczeń</t>
  </si>
  <si>
    <t>Składka per osoba towarzysząca</t>
  </si>
  <si>
    <t>Składki_status per klasa:</t>
  </si>
  <si>
    <t>Winno być</t>
  </si>
  <si>
    <t>Zebrane</t>
  </si>
  <si>
    <t>Środki u rodziców:</t>
  </si>
  <si>
    <t>Osoba</t>
  </si>
  <si>
    <t>Kwota</t>
  </si>
  <si>
    <t>Zaliczki</t>
  </si>
  <si>
    <t>Pozostaje</t>
  </si>
  <si>
    <t>Michał Krzyszkowski</t>
  </si>
  <si>
    <t>Aneta Kanafa</t>
  </si>
  <si>
    <t>P. Katarzyna 4D1</t>
  </si>
  <si>
    <t>Zadanie</t>
  </si>
  <si>
    <t>Kiedy?</t>
  </si>
  <si>
    <t>Kto?</t>
  </si>
  <si>
    <t>Wykonane?</t>
  </si>
  <si>
    <t>Nauka poloneza - kontakt</t>
  </si>
  <si>
    <t>Katarzyna 3D1</t>
  </si>
  <si>
    <t>Potwierdzenie ilości osób do PortoFine</t>
  </si>
  <si>
    <t>Potwierdzenie ilości osób wewnętrznie</t>
  </si>
  <si>
    <t>Zakup kasetki na pieniądze</t>
  </si>
  <si>
    <t>Zakup napojów gazowanych</t>
  </si>
  <si>
    <t>Do ustalenia</t>
  </si>
  <si>
    <t>Listy wpłat/wypłat_template</t>
  </si>
  <si>
    <t>Zasady wpłat/wypłat</t>
  </si>
  <si>
    <t>Ustalenie osób upoważnionych</t>
  </si>
  <si>
    <t>Cała grupa</t>
  </si>
  <si>
    <t>Zawiązanie komitetu</t>
  </si>
  <si>
    <t>Zaproszenie gości</t>
  </si>
  <si>
    <t>Uczniowie</t>
  </si>
  <si>
    <t>u mnie</t>
  </si>
  <si>
    <t>3B-&gt;3C-&gt;3D1-&gt;część 3F</t>
  </si>
  <si>
    <t>Paulina Drozdek</t>
  </si>
  <si>
    <t>3F-resztka(500 zł)</t>
  </si>
  <si>
    <t>Wydatki</t>
  </si>
  <si>
    <t>Typ uczestnika</t>
  </si>
  <si>
    <t>Wysokosc skladki</t>
  </si>
  <si>
    <t>Kolumna1</t>
  </si>
  <si>
    <t>Kolumna2</t>
  </si>
  <si>
    <t>ID</t>
  </si>
  <si>
    <t>Godzina rozpoczęcia</t>
  </si>
  <si>
    <t>Godzina ukończenia</t>
  </si>
  <si>
    <t>Adres e-mail</t>
  </si>
  <si>
    <t>Czy będziesz uczestniczył/uczestniczyła w Studniówce?</t>
  </si>
  <si>
    <t>Czy idziesz z osobą towarzyszącą?</t>
  </si>
  <si>
    <t>anonimowe</t>
  </si>
  <si>
    <t>karolina</t>
  </si>
  <si>
    <t>włodarczyk</t>
  </si>
  <si>
    <t>nikola</t>
  </si>
  <si>
    <t>radkow</t>
  </si>
  <si>
    <t>milena</t>
  </si>
  <si>
    <t>famulska</t>
  </si>
  <si>
    <t>Ola</t>
  </si>
  <si>
    <t>Grzywna</t>
  </si>
  <si>
    <t>Bartłomiej</t>
  </si>
  <si>
    <t>igor</t>
  </si>
  <si>
    <t>skulimowski</t>
  </si>
  <si>
    <t>Sawka</t>
  </si>
  <si>
    <t>Olczyk</t>
  </si>
  <si>
    <t xml:space="preserve">Pola </t>
  </si>
  <si>
    <t xml:space="preserve">Bogacka </t>
  </si>
  <si>
    <t xml:space="preserve">Rajtar </t>
  </si>
  <si>
    <t xml:space="preserve">Aleksandra </t>
  </si>
  <si>
    <t xml:space="preserve">Grzywna </t>
  </si>
  <si>
    <t>Chmiel</t>
  </si>
  <si>
    <t>Puczkowski</t>
  </si>
  <si>
    <t>Domański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</si>
</sst>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-* #,##0.00\ &quot;zł&quot;_-;\-* #,##0.00\ &quot;zł&quot;_-;_-* &quot;-&quot;??\ &quot;zł&quot;_-;_-@_-"/>
    <numFmt numFmtId="165" formatCode="_-* #,##0.00\ [$zł-415]_-;\-* #,##0.00\ [$zł-415]_-;_-* &quot;-&quot;??\ [$zł-415]_-;_-@_-"/>
    <numFmt numFmtId="166" formatCode="_(* #,##0_);_(* \(#,##0\);_(* &quot;-&quot;??_);_(@_)"/>
    <numFmt numFmtId="167" formatCode="_-* #,##0_-;\-* #,##0_-;_-* &quot;-&quot;??_-;_-@_-"/>
  </numFmts>
  <fonts count="24">
    <font>
      <sz val="11"/>
      <color theme="1"/>
      <name val="Calibri"/>
      <family val="2"/>
      <scheme val="minor"/>
    </font>
    <font>
      <sz val="11"/>
      <color theme="1"/>
      <name val="Aptos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Aptos"/>
    </font>
    <font>
      <i/>
      <sz val="9"/>
      <color rgb="FFFF0000"/>
      <name val="Aptos"/>
    </font>
    <font>
      <sz val="11"/>
      <color rgb="FF000000"/>
      <name val="Calibri"/>
      <family val="2"/>
    </font>
    <font>
      <i/>
      <sz val="9"/>
      <color rgb="FF000000"/>
      <name val="Aptos"/>
    </font>
    <font>
      <b/>
      <i/>
      <sz val="11"/>
      <color theme="1"/>
      <name val="Calibri"/>
      <family val="2"/>
      <scheme val="minor"/>
    </font>
    <font>
      <i/>
      <sz val="10"/>
      <color rgb="FF000000"/>
      <name val="Aptos"/>
    </font>
    <font>
      <b/>
      <sz val="11"/>
      <color theme="1"/>
      <name val="Calibri"/>
      <scheme val="minor"/>
    </font>
    <font>
      <b/>
      <sz val="11"/>
      <color theme="1"/>
      <name val="Aptos"/>
    </font>
    <font>
      <b/>
      <sz val="14"/>
      <color theme="1"/>
      <name val="Aptos"/>
    </font>
    <font>
      <b/>
      <sz val="14"/>
      <color rgb="FF000000"/>
      <name val="Aptos"/>
    </font>
    <font>
      <b/>
      <sz val="12"/>
      <color theme="1"/>
      <name val="Aptos"/>
    </font>
    <font>
      <sz val="11"/>
      <color theme="9"/>
      <name val="Aptos"/>
    </font>
    <font>
      <b/>
      <sz val="11"/>
      <color rgb="FF000000"/>
      <name val="Aptos"/>
    </font>
    <font>
      <sz val="10"/>
      <color theme="1"/>
      <name val="Aptos"/>
    </font>
    <font>
      <sz val="10"/>
      <color theme="9"/>
      <name val="Aptos"/>
    </font>
    <font>
      <i/>
      <sz val="9"/>
      <color theme="1"/>
      <name val="Aptos"/>
    </font>
    <font>
      <sz val="11"/>
      <color rgb="FFFF0000"/>
      <name val="Aptos"/>
    </font>
    <font>
      <b/>
      <i/>
      <sz val="11"/>
      <color theme="1"/>
      <name val="Aptos"/>
    </font>
    <font>
      <i/>
      <sz val="10"/>
      <color theme="1"/>
      <name val="Aptos"/>
    </font>
    <font>
      <i/>
      <sz val="10"/>
      <color rgb="FF70AD47"/>
      <name val="Aptos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D96F6F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double">
        <color rgb="FF000000"/>
      </bottom>
      <diagonal/>
    </border>
    <border>
      <left/>
      <right/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 style="thin">
        <color rgb="FF000000"/>
      </top>
      <bottom style="double">
        <color rgb="FF000000"/>
      </bottom>
      <diagonal/>
    </border>
    <border>
      <left/>
      <right style="double">
        <color rgb="FF000000"/>
      </right>
      <top/>
      <bottom/>
      <diagonal/>
    </border>
    <border>
      <left/>
      <right style="double">
        <color rgb="FF000000"/>
      </right>
      <top style="thin">
        <color rgb="FF000000"/>
      </top>
      <bottom/>
      <diagonal/>
    </border>
    <border>
      <left/>
      <right style="double">
        <color rgb="FF000000"/>
      </right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13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5" fontId="1" fillId="0" borderId="0" xfId="0" applyNumberFormat="1" applyFont="1" applyAlignment="1">
      <alignment horizontal="center" vertical="center"/>
    </xf>
    <xf numFmtId="165" fontId="1" fillId="0" borderId="0" xfId="0" applyNumberFormat="1" applyFont="1"/>
    <xf numFmtId="166" fontId="1" fillId="0" borderId="0" xfId="0" applyNumberFormat="1" applyFont="1"/>
    <xf numFmtId="0" fontId="0" fillId="0" borderId="0" xfId="0" applyAlignment="1">
      <alignment wrapText="1"/>
    </xf>
    <xf numFmtId="0" fontId="0" fillId="0" borderId="0" xfId="0" applyAlignment="1"/>
    <xf numFmtId="165" fontId="0" fillId="0" borderId="0" xfId="0" applyNumberFormat="1"/>
    <xf numFmtId="165" fontId="0" fillId="0" borderId="0" xfId="0" applyNumberFormat="1" applyAlignment="1"/>
    <xf numFmtId="165" fontId="0" fillId="0" borderId="1" xfId="0" applyNumberFormat="1" applyBorder="1"/>
    <xf numFmtId="165" fontId="0" fillId="0" borderId="0" xfId="0" applyNumberFormat="1" applyBorder="1"/>
    <xf numFmtId="165" fontId="0" fillId="0" borderId="0" xfId="0" applyNumberFormat="1" applyBorder="1" applyAlignment="1"/>
    <xf numFmtId="165" fontId="0" fillId="0" borderId="2" xfId="0" applyNumberFormat="1" applyBorder="1" applyAlignment="1"/>
    <xf numFmtId="165" fontId="0" fillId="0" borderId="2" xfId="0" applyNumberFormat="1" applyBorder="1"/>
    <xf numFmtId="166" fontId="0" fillId="0" borderId="1" xfId="0" applyNumberFormat="1" applyBorder="1"/>
    <xf numFmtId="166" fontId="0" fillId="0" borderId="0" xfId="0" applyNumberFormat="1" applyBorder="1" applyAlignment="1"/>
    <xf numFmtId="165" fontId="0" fillId="0" borderId="0" xfId="0" applyNumberFormat="1" applyBorder="1" applyAlignment="1">
      <alignment wrapText="1"/>
    </xf>
    <xf numFmtId="0" fontId="2" fillId="0" borderId="6" xfId="0" applyFont="1" applyBorder="1"/>
    <xf numFmtId="0" fontId="2" fillId="0" borderId="5" xfId="0" applyFont="1" applyBorder="1"/>
    <xf numFmtId="0" fontId="2" fillId="0" borderId="7" xfId="0" applyFont="1" applyBorder="1"/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wrapText="1"/>
    </xf>
    <xf numFmtId="165" fontId="2" fillId="0" borderId="3" xfId="0" applyNumberFormat="1" applyFont="1" applyBorder="1" applyAlignment="1">
      <alignment horizontal="center" vertical="center"/>
    </xf>
    <xf numFmtId="0" fontId="2" fillId="0" borderId="0" xfId="0" applyFont="1" applyAlignment="1"/>
    <xf numFmtId="166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6" xfId="0" applyFont="1" applyBorder="1" applyAlignment="1">
      <alignment horizontal="left"/>
    </xf>
    <xf numFmtId="0" fontId="2" fillId="0" borderId="5" xfId="0" applyFont="1" applyBorder="1" applyAlignment="1">
      <alignment horizontal="left"/>
    </xf>
    <xf numFmtId="0" fontId="2" fillId="0" borderId="5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left"/>
    </xf>
    <xf numFmtId="0" fontId="1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166" fontId="1" fillId="0" borderId="0" xfId="0" applyNumberFormat="1" applyFont="1" applyAlignment="1">
      <alignment horizontal="center" vertical="center" indent="1"/>
    </xf>
    <xf numFmtId="165" fontId="1" fillId="0" borderId="0" xfId="0" applyNumberFormat="1" applyFont="1" applyAlignment="1">
      <alignment horizontal="center" vertical="center" indent="1"/>
    </xf>
    <xf numFmtId="0" fontId="1" fillId="0" borderId="0" xfId="0" applyFont="1" applyAlignment="1">
      <alignment horizontal="center" vertical="center" indent="1"/>
    </xf>
    <xf numFmtId="165" fontId="1" fillId="0" borderId="0" xfId="0" applyNumberFormat="1" applyFont="1" applyAlignment="1">
      <alignment horizontal="center" vertical="center" wrapText="1"/>
    </xf>
    <xf numFmtId="0" fontId="1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horizontal="center" vertical="center" wrapText="1"/>
    </xf>
    <xf numFmtId="165" fontId="2" fillId="0" borderId="4" xfId="0" applyNumberFormat="1" applyFont="1" applyBorder="1" applyAlignment="1">
      <alignment horizontal="center" vertical="center"/>
    </xf>
    <xf numFmtId="167" fontId="0" fillId="0" borderId="5" xfId="0" applyNumberFormat="1" applyBorder="1" applyAlignment="1">
      <alignment horizontal="center" vertical="center" wrapText="1"/>
    </xf>
    <xf numFmtId="0" fontId="2" fillId="0" borderId="5" xfId="0" applyFont="1" applyBorder="1" applyAlignment="1">
      <alignment horizontal="left" vertical="center"/>
    </xf>
    <xf numFmtId="0" fontId="2" fillId="0" borderId="5" xfId="0" applyFont="1" applyFill="1" applyBorder="1" applyAlignment="1">
      <alignment wrapText="1"/>
    </xf>
    <xf numFmtId="0" fontId="1" fillId="0" borderId="0" xfId="0" applyFont="1" applyAlignment="1">
      <alignment horizontal="center" vertical="center"/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9" fontId="3" fillId="0" borderId="0" xfId="0" applyNumberFormat="1" applyFont="1"/>
    <xf numFmtId="0" fontId="6" fillId="0" borderId="0" xfId="0" applyFont="1" applyBorder="1" applyAlignment="1"/>
    <xf numFmtId="22" fontId="6" fillId="0" borderId="0" xfId="0" applyNumberFormat="1" applyFont="1" applyBorder="1" applyAlignment="1"/>
    <xf numFmtId="0" fontId="4" fillId="2" borderId="0" xfId="0" applyFont="1" applyFill="1" applyBorder="1" applyAlignment="1"/>
    <xf numFmtId="22" fontId="4" fillId="2" borderId="0" xfId="0" applyNumberFormat="1" applyFont="1" applyFill="1" applyBorder="1" applyAlignment="1"/>
    <xf numFmtId="0" fontId="4" fillId="0" borderId="0" xfId="0" applyFont="1" applyBorder="1" applyAlignment="1"/>
    <xf numFmtId="22" fontId="4" fillId="0" borderId="0" xfId="0" applyNumberFormat="1" applyFont="1" applyBorder="1" applyAlignment="1"/>
    <xf numFmtId="0" fontId="4" fillId="2" borderId="0" xfId="0" applyFont="1" applyFill="1"/>
    <xf numFmtId="22" fontId="4" fillId="2" borderId="0" xfId="0" applyNumberFormat="1" applyFont="1" applyFill="1"/>
    <xf numFmtId="0" fontId="1" fillId="0" borderId="0" xfId="0" applyNumberFormat="1" applyFont="1" applyAlignment="1">
      <alignment horizontal="center" vertical="center"/>
    </xf>
    <xf numFmtId="0" fontId="0" fillId="0" borderId="0" xfId="0" applyNumberFormat="1"/>
    <xf numFmtId="167" fontId="3" fillId="0" borderId="0" xfId="0" applyNumberFormat="1" applyFont="1"/>
    <xf numFmtId="0" fontId="4" fillId="0" borderId="0" xfId="0" applyFont="1"/>
    <xf numFmtId="0" fontId="8" fillId="0" borderId="7" xfId="0" applyFont="1" applyBorder="1" applyAlignment="1"/>
    <xf numFmtId="167" fontId="3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/>
    </xf>
    <xf numFmtId="165" fontId="2" fillId="0" borderId="1" xfId="0" applyNumberFormat="1" applyFont="1" applyBorder="1" applyAlignment="1"/>
    <xf numFmtId="165" fontId="10" fillId="0" borderId="3" xfId="0" applyNumberFormat="1" applyFont="1" applyBorder="1" applyAlignment="1">
      <alignment horizontal="center" vertical="center" wrapText="1"/>
    </xf>
    <xf numFmtId="0" fontId="11" fillId="0" borderId="3" xfId="0" applyFont="1" applyBorder="1"/>
    <xf numFmtId="0" fontId="1" fillId="0" borderId="3" xfId="0" applyFont="1" applyBorder="1"/>
    <xf numFmtId="167" fontId="1" fillId="0" borderId="0" xfId="0" applyNumberFormat="1" applyFont="1"/>
    <xf numFmtId="0" fontId="4" fillId="0" borderId="0" xfId="0" applyFont="1" applyAlignment="1">
      <alignment wrapText="1"/>
    </xf>
    <xf numFmtId="0" fontId="4" fillId="0" borderId="0" xfId="0" applyFont="1" applyFill="1" applyBorder="1"/>
    <xf numFmtId="164" fontId="1" fillId="0" borderId="0" xfId="0" applyNumberFormat="1" applyFont="1" applyFill="1" applyBorder="1"/>
    <xf numFmtId="0" fontId="1" fillId="0" borderId="0" xfId="0" applyFont="1" applyFill="1" applyBorder="1" applyAlignment="1">
      <alignment horizontal="left" vertical="center" wrapText="1"/>
    </xf>
    <xf numFmtId="0" fontId="1" fillId="0" borderId="0" xfId="0" applyFont="1" applyFill="1" applyBorder="1"/>
    <xf numFmtId="0" fontId="13" fillId="0" borderId="3" xfId="0" applyFont="1" applyFill="1" applyBorder="1"/>
    <xf numFmtId="164" fontId="12" fillId="0" borderId="3" xfId="0" applyNumberFormat="1" applyFont="1" applyFill="1" applyBorder="1" applyAlignment="1">
      <alignment horizontal="right" vertical="center"/>
    </xf>
    <xf numFmtId="164" fontId="1" fillId="0" borderId="0" xfId="0" applyNumberFormat="1" applyFont="1" applyFill="1" applyBorder="1" applyAlignment="1">
      <alignment horizontal="right" vertical="center"/>
    </xf>
    <xf numFmtId="0" fontId="1" fillId="0" borderId="0" xfId="0" applyFont="1" applyBorder="1"/>
    <xf numFmtId="164" fontId="14" fillId="0" borderId="0" xfId="0" applyNumberFormat="1" applyFont="1"/>
    <xf numFmtId="0" fontId="14" fillId="0" borderId="0" xfId="0" applyFont="1"/>
    <xf numFmtId="0" fontId="1" fillId="0" borderId="0" xfId="0" applyFont="1" applyBorder="1" applyAlignment="1">
      <alignment horizontal="center" vertical="center"/>
    </xf>
    <xf numFmtId="0" fontId="15" fillId="0" borderId="0" xfId="0" applyFont="1"/>
    <xf numFmtId="0" fontId="15" fillId="0" borderId="0" xfId="0" applyFont="1" applyAlignment="1">
      <alignment horizontal="right"/>
      <extLst>
        <ext xmlns:xfpb="http://schemas.microsoft.com/office/spreadsheetml/2022/featurepropertybag" uri="{C7286773-470A-42A8-94C5-96B5CB345126}">
          <xfpb:xfComplement i="0"/>
        </ext>
      </extLst>
    </xf>
    <xf numFmtId="0" fontId="15" fillId="0" borderId="0" xfId="0" applyFont="1" applyAlignment="1">
      <alignment horizontal="right" vertical="center"/>
      <extLst>
        <ext xmlns:xfpb="http://schemas.microsoft.com/office/spreadsheetml/2022/featurepropertybag" uri="{C7286773-470A-42A8-94C5-96B5CB345126}">
          <xfpb:xfComplement i="0"/>
        </ext>
      </extLst>
    </xf>
    <xf numFmtId="166" fontId="1" fillId="0" borderId="0" xfId="0" applyNumberFormat="1" applyFont="1" applyAlignment="1">
      <alignment horizontal="center" vertical="center" indent="2"/>
    </xf>
    <xf numFmtId="0" fontId="11" fillId="0" borderId="3" xfId="0" applyFont="1" applyBorder="1" applyAlignment="1">
      <alignment vertical="center"/>
    </xf>
    <xf numFmtId="22" fontId="1" fillId="0" borderId="0" xfId="0" applyNumberFormat="1" applyFont="1" applyAlignment="1">
      <alignment horizontal="center" vertical="center"/>
    </xf>
    <xf numFmtId="166" fontId="0" fillId="3" borderId="0" xfId="0" applyNumberFormat="1" applyFill="1" applyBorder="1" applyAlignment="1">
      <alignment horizontal="center" vertical="center"/>
    </xf>
    <xf numFmtId="165" fontId="1" fillId="0" borderId="0" xfId="0" applyNumberFormat="1" applyFont="1" applyAlignment="1">
      <alignment horizontal="right" vertical="center" indent="1"/>
    </xf>
    <xf numFmtId="165" fontId="1" fillId="0" borderId="0" xfId="0" applyNumberFormat="1" applyFont="1" applyAlignment="1">
      <alignment horizontal="right" vertical="center" indent="2"/>
    </xf>
    <xf numFmtId="0" fontId="0" fillId="0" borderId="0" xfId="0" applyFill="1" applyAlignment="1">
      <alignment horizontal="center" vertical="center"/>
    </xf>
    <xf numFmtId="164" fontId="0" fillId="0" borderId="0" xfId="0" applyNumberFormat="1"/>
    <xf numFmtId="0" fontId="3" fillId="0" borderId="3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0" fillId="0" borderId="8" xfId="0" applyNumberFormat="1" applyBorder="1"/>
    <xf numFmtId="165" fontId="1" fillId="0" borderId="0" xfId="0" applyNumberFormat="1" applyFont="1" applyBorder="1" applyAlignment="1">
      <alignment horizontal="center" vertical="center" wrapText="1"/>
    </xf>
    <xf numFmtId="165" fontId="1" fillId="0" borderId="0" xfId="0" applyNumberFormat="1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164" fontId="0" fillId="0" borderId="0" xfId="0" applyNumberFormat="1" applyBorder="1"/>
    <xf numFmtId="0" fontId="2" fillId="0" borderId="0" xfId="0" applyFont="1" applyBorder="1" applyAlignment="1">
      <alignment horizontal="center" vertical="center"/>
    </xf>
    <xf numFmtId="0" fontId="2" fillId="0" borderId="0" xfId="0" applyFont="1" applyFill="1" applyBorder="1" applyAlignment="1">
      <alignment horizontal="center" wrapText="1"/>
    </xf>
    <xf numFmtId="0" fontId="2" fillId="0" borderId="0" xfId="0" applyFont="1" applyBorder="1" applyAlignment="1">
      <alignment horizontal="center"/>
    </xf>
    <xf numFmtId="0" fontId="16" fillId="0" borderId="3" xfId="0" applyFont="1" applyBorder="1"/>
    <xf numFmtId="0" fontId="2" fillId="0" borderId="3" xfId="0" applyFont="1" applyBorder="1" applyAlignment="1">
      <alignment horizontal="center"/>
    </xf>
    <xf numFmtId="0" fontId="4" fillId="0" borderId="0" xfId="0" applyFont="1" applyFill="1" applyBorder="1" applyAlignment="1">
      <alignment wrapText="1"/>
    </xf>
    <xf numFmtId="0" fontId="19" fillId="0" borderId="0" xfId="0" applyFont="1" applyAlignment="1">
      <alignment horizontal="left" vertical="center"/>
    </xf>
    <xf numFmtId="167" fontId="20" fillId="0" borderId="0" xfId="0" applyNumberFormat="1" applyFont="1"/>
    <xf numFmtId="164" fontId="1" fillId="0" borderId="0" xfId="0" applyNumberFormat="1" applyFont="1" applyFill="1" applyBorder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0" fontId="8" fillId="0" borderId="6" xfId="0" applyFont="1" applyBorder="1"/>
    <xf numFmtId="165" fontId="3" fillId="0" borderId="2" xfId="0" applyNumberFormat="1" applyFont="1" applyBorder="1" applyAlignment="1">
      <alignment horizontal="right" vertical="center"/>
    </xf>
    <xf numFmtId="165" fontId="20" fillId="0" borderId="0" xfId="0" applyNumberFormat="1" applyFont="1" applyAlignment="1">
      <alignment horizontal="center" vertical="center"/>
    </xf>
    <xf numFmtId="165" fontId="20" fillId="0" borderId="0" xfId="0" applyNumberFormat="1" applyFont="1" applyAlignment="1">
      <alignment horizontal="center" vertical="center" wrapText="1"/>
    </xf>
    <xf numFmtId="0" fontId="20" fillId="0" borderId="0" xfId="0" applyNumberFormat="1" applyFont="1" applyAlignment="1">
      <alignment horizontal="center" vertical="center"/>
    </xf>
    <xf numFmtId="14" fontId="1" fillId="0" borderId="0" xfId="0" applyNumberFormat="1" applyFont="1" applyAlignment="1">
      <alignment horizontal="center" vertical="center"/>
    </xf>
    <xf numFmtId="0" fontId="19" fillId="0" borderId="0" xfId="0" applyFont="1"/>
    <xf numFmtId="0" fontId="1" fillId="0" borderId="0" xfId="0" applyFont="1" applyAlignment="1">
      <alignment vertical="top"/>
    </xf>
    <xf numFmtId="165" fontId="1" fillId="0" borderId="0" xfId="0" applyNumberFormat="1" applyFont="1" applyFill="1" applyAlignment="1">
      <alignment horizontal="center" vertical="center"/>
    </xf>
    <xf numFmtId="0" fontId="21" fillId="0" borderId="0" xfId="0" applyFont="1" applyAlignment="1">
      <alignment horizontal="left" vertical="center"/>
    </xf>
    <xf numFmtId="0" fontId="21" fillId="0" borderId="0" xfId="0" applyFont="1" applyAlignment="1">
      <alignment horizontal="center" vertical="center"/>
    </xf>
    <xf numFmtId="164" fontId="11" fillId="0" borderId="3" xfId="0" applyNumberFormat="1" applyFont="1" applyBorder="1" applyAlignment="1"/>
    <xf numFmtId="164" fontId="11" fillId="0" borderId="3" xfId="0" applyNumberFormat="1" applyFont="1" applyBorder="1" applyAlignment="1">
      <alignment horizontal="center" vertical="center"/>
    </xf>
    <xf numFmtId="165" fontId="22" fillId="0" borderId="0" xfId="0" applyNumberFormat="1" applyFont="1" applyAlignment="1">
      <alignment horizontal="right" vertical="center" indent="1"/>
    </xf>
    <xf numFmtId="0" fontId="1" fillId="0" borderId="0" xfId="0" applyFont="1" applyAlignment="1">
      <alignment horizontal="left"/>
    </xf>
    <xf numFmtId="0" fontId="0" fillId="4" borderId="0" xfId="0" applyFill="1"/>
    <xf numFmtId="0" fontId="3" fillId="0" borderId="0" xfId="0" applyFont="1" applyAlignment="1">
      <alignment horizontal="center" vertical="center"/>
    </xf>
    <xf numFmtId="0" fontId="2" fillId="0" borderId="8" xfId="0" applyFont="1" applyBorder="1" applyAlignment="1">
      <alignment horizontal="center"/>
    </xf>
    <xf numFmtId="166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164" fontId="14" fillId="0" borderId="0" xfId="0" applyNumberFormat="1" applyFont="1" applyAlignment="1">
      <alignment horizontal="center" vertical="center"/>
    </xf>
    <xf numFmtId="0" fontId="17" fillId="0" borderId="0" xfId="0" applyFont="1" applyAlignment="1">
      <alignment horizontal="center" vertical="center" textRotation="90"/>
    </xf>
    <xf numFmtId="0" fontId="18" fillId="0" borderId="0" xfId="0" applyFont="1" applyAlignment="1">
      <alignment horizontal="center" vertical="center" textRotation="90"/>
    </xf>
    <xf numFmtId="0" fontId="11" fillId="0" borderId="3" xfId="0" applyFont="1" applyBorder="1" applyAlignment="1">
      <alignment horizontal="left" vertical="center"/>
    </xf>
  </cellXfs>
  <cellStyles count="1">
    <cellStyle name="Normal" xfId="0" builtinId="0"/>
  </cellStyles>
  <dxfs count="9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68" formatCode="dd/mm/yyyy\ hh:mm"/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numFmt numFmtId="168" formatCode="dd/mm/yyyy\ hh:mm"/>
      <fill>
        <patternFill patternType="solid">
          <fgColor rgb="FFD9E1F2"/>
          <bgColor rgb="FFD9E1F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Aptos"/>
        <scheme val="none"/>
      </font>
      <fill>
        <patternFill patternType="solid">
          <fgColor rgb="FFD9E1F2"/>
          <bgColor rgb="FFD9E1F2"/>
        </patternFill>
      </fill>
    </dxf>
    <dxf>
      <font>
        <name val="Aptos"/>
      </font>
      <alignment horizontal="center" vertical="center"/>
    </dxf>
    <dxf>
      <numFmt numFmtId="164" formatCode="_-* #,##0.00\ &quot;zł&quot;_-;\-* #,##0.00\ &quot;zł&quot;_-;_-* &quot;-&quot;??\ &quot;zł&quot;_-;_-@_-"/>
    </dxf>
    <dxf>
      <numFmt numFmtId="164" formatCode="_-* #,##0.00\ &quot;zł&quot;_-;\-* #,##0.00\ &quot;zł&quot;_-;_-* &quot;-&quot;??\ &quot;zł&quot;_-;_-@_-"/>
    </dxf>
    <dxf>
      <numFmt numFmtId="164" formatCode="_-* #,##0.00\ &quot;zł&quot;_-;\-* #,##0.00\ &quot;zł&quot;_-;_-* &quot;-&quot;??\ &quot;zł&quot;_-;_-@_-"/>
    </dxf>
    <dxf>
      <numFmt numFmtId="164" formatCode="_-* #,##0.00\ &quot;zł&quot;_-;\-* #,##0.00\ &quot;zł&quot;_-;_-* &quot;-&quot;??\ &quot;zł&quot;_-;_-@_-"/>
    </dxf>
    <dxf>
      <numFmt numFmtId="164" formatCode="_-* #,##0.00\ &quot;zł&quot;_-;\-* #,##0.00\ &quot;zł&quot;_-;_-* &quot;-&quot;??\ &quot;zł&quot;_-;_-@_-"/>
    </dxf>
    <dxf>
      <numFmt numFmtId="164" formatCode="_-* #,##0.00\ &quot;zł&quot;_-;\-* #,##0.00\ &quot;zł&quot;_-;_-* &quot;-&quot;??\ &quot;zł&quot;_-;_-@_-"/>
    </dxf>
    <dxf>
      <numFmt numFmtId="164" formatCode="_-* #,##0.00\ &quot;zł&quot;_-;\-* #,##0.00\ &quot;zł&quot;_-;_-* &quot;-&quot;??\ &quot;zł&quot;_-;_-@_-"/>
    </dxf>
    <dxf>
      <numFmt numFmtId="164" formatCode="_-* #,##0.00\ &quot;zł&quot;_-;\-* #,##0.00\ &quot;zł&quot;_-;_-* &quot;-&quot;??\ &quot;zł&quot;_-;_-@_-"/>
    </dxf>
    <dxf>
      <numFmt numFmtId="164" formatCode="_-* #,##0.00\ &quot;zł&quot;_-;\-* #,##0.00\ &quot;zł&quot;_-;_-* &quot;-&quot;??\ &quot;zł&quot;_-;_-@_-"/>
    </dxf>
    <dxf>
      <numFmt numFmtId="164" formatCode="_-* #,##0.00\ &quot;zł&quot;_-;\-* #,##0.00\ &quot;zł&quot;_-;_-* &quot;-&quot;??\ &quot;zł&quot;_-;_-@_-"/>
    </dxf>
    <dxf>
      <numFmt numFmtId="164" formatCode="_-* #,##0.00\ &quot;zł&quot;_-;\-* #,##0.00\ &quot;zł&quot;_-;_-* &quot;-&quot;??\ &quot;zł&quot;_-;_-@_-"/>
    </dxf>
    <dxf>
      <font>
        <name val="Aptos"/>
      </font>
      <alignment horizontal="center" vertical="center"/>
      <extLst>
        <ext xmlns:xfpb="http://schemas.microsoft.com/office/spreadsheetml/2022/featurepropertybag" uri="{0417FA29-78FA-4A13-93AC-8FF0FAFDF519}">
          <xfpb:DXFComplement i="0"/>
        </ext>
      </extLst>
    </dxf>
    <dxf>
      <font>
        <name val="Aptos"/>
      </font>
      <alignment horizontal="center" vertical="center"/>
    </dxf>
    <dxf>
      <font>
        <name val="Aptos"/>
      </font>
      <numFmt numFmtId="169" formatCode="dd/mm/yyyy"/>
      <alignment horizontal="center" vertical="center"/>
    </dxf>
    <dxf>
      <font>
        <name val="Aptos"/>
      </font>
      <alignment horizontal="center" vertical="center"/>
    </dxf>
    <dxf>
      <font>
        <name val="Aptos"/>
      </font>
      <alignment horizontal="center" vertical="center"/>
    </dxf>
    <dxf>
      <font>
        <name val="Aptos"/>
      </font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_-* #,##0.00\ &quot;zł&quot;_-;\-* #,##0.00\ &quot;zł&quot;_-;_-* &quot;-&quot;??\ &quot;zł&quot;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4" formatCode="_-* #,##0.00\ &quot;zł&quot;_-;\-* #,##0.00\ &quot;zł&quot;_-;_-* &quot;-&quot;??\ &quot;zł&quot;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border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 patternType="solid">
          <bgColor theme="0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/>
        <strike val="0"/>
        <condense val="0"/>
        <extend val="0"/>
        <outline val="0"/>
        <shadow val="0"/>
        <u val="none"/>
        <vertAlign val="baseline"/>
        <sz val="10"/>
        <color theme="1"/>
        <name val="Aptos"/>
        <scheme val="none"/>
      </font>
      <numFmt numFmtId="165" formatCode="_-* #,##0.00\ [$zł-415]_-;\-* #,##0.00\ [$zł-415]_-;_-* &quot;-&quot;??\ [$zł-415]_-;_-@_-"/>
      <alignment horizontal="right" vertical="center" relative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right" vertical="center" relative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right" vertical="center" relative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right" vertical="center" textRotation="0" wrapText="0" relative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right" vertical="center" relative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6" formatCode="_(* #,##0_);_(* \(#,##0\);_(* &quot;-&quot;??_);_(@_)"/>
      <alignment horizontal="center" vertical="center" relativeIndent="1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1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"/>
        <scheme val="none"/>
      </font>
      <numFmt numFmtId="165" formatCode="_-* #,##0.00\ [$zł-415]_-;\-* #,##0.00\ [$zł-415]_-;_-* &quot;-&quot;??\ [$zł-415]_-;_-@_-"/>
      <alignment horizontal="center" vertical="center" textRotation="0" wrapText="1" indent="0" justifyLastLine="0" shrinkToFit="0" readingOrder="0"/>
    </dxf>
    <dxf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Medium9"/>
  <colors>
    <mruColors>
      <color rgb="FFD96F6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microsoft.com/office/2007/relationships/slicerCache" Target="slicerCaches/slicerCache2.xml"/><Relationship Id="rId5" Type="http://schemas.openxmlformats.org/officeDocument/2006/relationships/worksheet" Target="worksheets/sheet5.xml"/><Relationship Id="rId15" Type="http://schemas.microsoft.com/office/2022/11/relationships/FeaturePropertyBag" Target="featurePropertyBag/featurePropertyBag.xml"/><Relationship Id="rId10" Type="http://schemas.microsoft.com/office/2007/relationships/slicerCache" Target="slicerCaches/slicerCach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24</xdr:col>
      <xdr:colOff>123825</xdr:colOff>
      <xdr:row>0</xdr:row>
      <xdr:rowOff>180975</xdr:rowOff>
    </xdr:from>
    <xdr:to>
      <xdr:col>29</xdr:col>
      <xdr:colOff>466725</xdr:colOff>
      <xdr:row>45</xdr:row>
      <xdr:rowOff>47625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2" name="Klasa">
              <a:extLst>
                <a:ext uri="{FF2B5EF4-FFF2-40B4-BE49-F238E27FC236}">
                  <a16:creationId xmlns:a16="http://schemas.microsoft.com/office/drawing/2014/main" id="{18DA43E8-2E47-7B6A-62F6-E22132F007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Klasa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879800" y="161925"/>
              <a:ext cx="1838325" cy="261937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absolute">
    <xdr:from>
      <xdr:col>24</xdr:col>
      <xdr:colOff>114300</xdr:colOff>
      <xdr:row>45</xdr:row>
      <xdr:rowOff>85725</xdr:rowOff>
    </xdr:from>
    <xdr:to>
      <xdr:col>29</xdr:col>
      <xdr:colOff>457200</xdr:colOff>
      <xdr:row>78</xdr:row>
      <xdr:rowOff>66675</xdr:rowOff>
    </xdr:to>
    <mc:AlternateContent xmlns:mc="http://schemas.openxmlformats.org/markup-compatibility/2006" xmlns:a15="http://schemas.microsoft.com/office/drawing/2012/main">
      <mc:Choice Requires="a15">
        <xdr:graphicFrame macro="">
          <xdr:nvGraphicFramePr>
            <xdr:cNvPr id="4" name="Status">
              <a:extLst>
                <a:ext uri="{FF2B5EF4-FFF2-40B4-BE49-F238E27FC236}">
                  <a16:creationId xmlns:a16="http://schemas.microsoft.com/office/drawing/2014/main" id="{C851BE59-EA1C-5923-F074-6BB4041E9B64}"/>
                </a:ext>
                <a:ext uri="{147F2762-F138-4A5C-976F-8EAC2B608ADB}">
                  <a16:predDERef xmlns:a16="http://schemas.microsoft.com/office/drawing/2014/main" pred="{18DA43E8-2E47-7B6A-62F6-E22132F0079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tatus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660475" y="2819400"/>
              <a:ext cx="1838325" cy="1314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Klasa" xr10:uid="{CB04C9D5-BAC4-411B-8D65-390C0A2DF7F1}" sourceName="Klasa">
  <extLst>
    <x:ext xmlns:x15="http://schemas.microsoft.com/office/spreadsheetml/2010/11/main" uri="{2F2917AC-EB37-4324-AD4E-5DD8C200BD13}">
      <x15:tableSlicerCache tableId="2" column="1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Fragmentator_Status" xr10:uid="{B9DEE11E-3253-4F97-95BA-EC7308723CAD}" sourceName="Status">
  <extLst>
    <x:ext xmlns:x15="http://schemas.microsoft.com/office/spreadsheetml/2010/11/main" uri="{2F2917AC-EB37-4324-AD4E-5DD8C200BD13}">
      <x15:tableSlicerCache tableId="2" column="23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Klasa" xr10:uid="{0D534D02-42E4-45E5-B974-DEEFF2DEFA5A}" cache="Slicer_Klasa" caption="Klasa" rowHeight="228600"/>
  <slicer name="Status" xr10:uid="{BB4DC26C-8DDB-4286-A9AB-4944B2E3EF55}" cache="Fragmentator_Status" caption="Status" rowHeight="2286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CFCB90EF-AA27-4917-A5A7-03A9090EB806}" name="Table2" displayName="Table2" ref="A2:X235" totalsRowShown="0" headerRowDxfId="91" dataDxfId="90">
  <autoFilter ref="A2:X235" xr:uid="{CFCB90EF-AA27-4917-A5A7-03A9090EB806}">
    <filterColumn colId="0" hiddenButton="1"/>
    <filterColumn colId="1" hiddenButton="1"/>
    <filterColumn colId="2" hiddenButton="1">
      <filters>
        <filter val="3C"/>
      </filters>
    </filterColumn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  <filterColumn colId="20" hiddenButton="1"/>
    <filterColumn colId="21" hiddenButton="1"/>
    <filterColumn colId="22" hiddenButton="1"/>
    <filterColumn colId="23" hiddenButton="1"/>
  </autoFilter>
  <tableColumns count="24">
    <tableColumn id="21" xr3:uid="{BCD39C87-7EC9-4602-A144-4C05587ACF06}" name="Nazwisko" dataDxfId="89">
      <calculatedColumnFormula>IF('Ankieta#1_13.04.26'!F2="","",'Ankieta#1_13.04.26'!F2)</calculatedColumnFormula>
    </tableColumn>
    <tableColumn id="22" xr3:uid="{EA47C370-30AF-4C18-9E60-D0F7A593FC53}" name="Imię" dataDxfId="88">
      <calculatedColumnFormula>IF('Ankieta#1_13.04.26'!E2="","",'Ankieta#1_13.04.26'!E2)</calculatedColumnFormula>
    </tableColumn>
    <tableColumn id="1" xr3:uid="{56F25513-DA78-4479-91F8-F3872E9C182F}" name="Klasa" dataDxfId="87">
      <calculatedColumnFormula>IF('Ankieta#1_13.04.26'!G2="","",'Ankieta#1_13.04.26'!G2)</calculatedColumnFormula>
    </tableColumn>
    <tableColumn id="2" xr3:uid="{78D006D4-12A3-497C-8A49-B2AD383A27F4}" name="Czy idzie?" dataDxfId="86">
      <calculatedColumnFormula>IF('Ankieta#1_13.04.26'!H2="","",'Ankieta#1_13.04.26'!H2)</calculatedColumnFormula>
    </tableColumn>
    <tableColumn id="3" xr3:uid="{FFBAFF3B-7E46-41F1-812A-12917E807D18}" name="Osoba towarzysząca?" dataDxfId="85">
      <calculatedColumnFormula>IF('Ankieta#1_13.04.26'!I2="","",'Ankieta#1_13.04.26'!I2)</calculatedColumnFormula>
    </tableColumn>
    <tableColumn id="4" xr3:uid="{A05A1435-898F-442A-8583-592F124A0757}" name="Numer kontaktowy rodzica" dataDxfId="84"/>
    <tableColumn id="5" xr3:uid="{B3CF5F48-7D86-42EC-B1EC-0F041C92687A}" name="2025" dataDxfId="83"/>
    <tableColumn id="6" xr3:uid="{D093F723-CCEB-482F-8870-CF9B8410A8F4}" name="Sty" dataDxfId="82"/>
    <tableColumn id="7" xr3:uid="{95DC9C8E-99B9-4823-BFE9-61CDA8328F2F}" name="Lut" dataDxfId="81"/>
    <tableColumn id="8" xr3:uid="{E871F007-2040-4C28-AFE2-F5F961CEFC37}" name="Mar" dataDxfId="80"/>
    <tableColumn id="9" xr3:uid="{64EA15DB-E2F4-44A0-B2D0-7520182EAED5}" name="Kwi" dataDxfId="79"/>
    <tableColumn id="10" xr3:uid="{EE84B1FC-4F6B-45D2-8B76-2427CBE0D4FA}" name="Maj" dataDxfId="78"/>
    <tableColumn id="11" xr3:uid="{B4474B47-0C89-4380-B1EC-F5731DE28FEA}" name="Cze" dataDxfId="77"/>
    <tableColumn id="12" xr3:uid="{CE92D97D-C64D-4B9B-8D5F-BFBED064ABC0}" name="Lip" dataDxfId="76"/>
    <tableColumn id="13" xr3:uid="{40F6C00E-2DED-444A-BAE5-60FEAF029CCF}" name="Sie" dataDxfId="75"/>
    <tableColumn id="14" xr3:uid="{E8458E2A-3CD2-4974-8425-AF32ECB6103E}" name="Wrz" dataDxfId="74"/>
    <tableColumn id="15" xr3:uid="{F60370F2-CCDB-44B3-8A4A-E653F063B792}" name="Paź" dataDxfId="73"/>
    <tableColumn id="16" xr3:uid="{03362A1C-C77E-43EB-A8D3-1D93BA1D9B71}" name="Lis" dataDxfId="72"/>
    <tableColumn id="17" xr3:uid="{24954D69-6706-4CAF-8131-367EBA722288}" name="Gru" dataDxfId="71"/>
    <tableColumn id="18" xr3:uid="{FF77B717-138A-4C7D-A3D1-797243C2FA58}" name="Razem" dataDxfId="70">
      <calculatedColumnFormula>SUM(G3:S3)</calculatedColumnFormula>
    </tableColumn>
    <tableColumn id="19" xr3:uid="{A17CC87B-A392-4DEE-8100-8986CD8E5A69}" name="Winno byc" dataDxfId="69">
      <calculatedColumnFormula>IF(Table2[[#This Row],[Nazwisko]]="","",IF(AND(D3="Nie",E3="Nie"),0,IF(AND(D3="Tak",E3="Nie"),Podsumowanie!$B$19,Podsumowanie!$C$19)))</calculatedColumnFormula>
    </tableColumn>
    <tableColumn id="20" xr3:uid="{05D86470-353B-4C30-BFF5-06D68023DE1F}" name="Delta" dataDxfId="68">
      <calculatedColumnFormula>IFERROR(T3-U3,"")</calculatedColumnFormula>
    </tableColumn>
    <tableColumn id="23" xr3:uid="{A28A345D-80B1-4AEA-8BAC-27CCF5EC5F04}" name="Status" dataDxfId="67">
      <calculatedColumnFormula>IF(OR(A3="",V3=0),"",IF(OR(V3&gt;-0.01,V3=0),"OK","NOK"))</calculatedColumnFormula>
    </tableColumn>
    <tableColumn id="24" xr3:uid="{BABDA1B9-4CD0-4722-B7AE-B65AF255FE54}" name="Komentarz" dataDxfId="66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665B898-F365-4BBA-8FCA-7CD05BB0AEC3}" name="Table1" displayName="Table1" ref="A2:I14" totalsRowCount="1" headerRowDxfId="65" dataDxfId="64">
  <autoFilter ref="A2:I13" xr:uid="{9665B898-F365-4BBA-8FCA-7CD05BB0AEC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19F226D9-CEF6-41AE-B48E-11DBA7028230}" name="Opis" totalsRowLabel="Total" dataDxfId="62" totalsRowDxfId="63"/>
    <tableColumn id="7" xr3:uid="{02E00387-EF8E-4DFB-8F12-4F3D2BA842C3}" name="Umowa done?" dataDxfId="60" totalsRowDxfId="61"/>
    <tableColumn id="8" xr3:uid="{ED1098AB-32F7-49BE-829A-2DAC2332872B}" name="Zaliczka done?" dataDxfId="58" totalsRowDxfId="59"/>
    <tableColumn id="2" xr3:uid="{0634147E-4DBC-4DF3-8804-09C4485669C9}" name="Ilość" dataDxfId="56" totalsRowDxfId="57"/>
    <tableColumn id="3" xr3:uid="{D2A672EF-BBBA-4D05-B434-3B370BAA4312}" name="Cena" dataDxfId="54" totalsRowDxfId="55"/>
    <tableColumn id="6" xr3:uid="{6B807A68-A84E-4E3F-A95C-3EFB122398E7}" name="Koszt" totalsRowFunction="custom" dataDxfId="52" totalsRowDxfId="53">
      <calculatedColumnFormula>Table1[[#This Row],[Ilość]]*Table1[[#This Row],[Cena]]</calculatedColumnFormula>
      <totalsRowFormula>SUBTOTAL(109,F3:F13)</totalsRowFormula>
    </tableColumn>
    <tableColumn id="4" xr3:uid="{E4585822-704E-43F6-869B-F10065788C86}" name="Zaliczka" totalsRowFunction="custom" dataDxfId="50" totalsRowDxfId="51">
      <totalsRowFormula>SUBTOTAL(109,G3:G13)</totalsRowFormula>
    </tableColumn>
    <tableColumn id="5" xr3:uid="{B4BD474B-482D-4706-8077-17664E5D2681}" name="Pozostało" totalsRowFunction="custom" dataDxfId="48" totalsRowDxfId="49">
      <calculatedColumnFormula>Table1[[#This Row],[Koszt]]-Table1[[#This Row],[Zaliczka]]</calculatedColumnFormula>
      <totalsRowFormula>SUBTOTAL(109,H3:H13)</totalsRowFormula>
    </tableColumn>
    <tableColumn id="9" xr3:uid="{59CA1F75-6ABD-4C62-8208-2B50B2AE320F}" name="Komentarz" dataDxfId="46" totalsRowDxfId="4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4316127-CA9F-4BFD-B276-D76C0F9014A3}" name="Table5" displayName="Table5" ref="C32:F40" totalsRowCount="1" headerRowDxfId="37" totalsRowBorderDxfId="36">
  <autoFilter ref="C32:F39" xr:uid="{04316127-CA9F-4BFD-B276-D76C0F9014A3}">
    <filterColumn colId="0" hiddenButton="1"/>
    <filterColumn colId="1" hiddenButton="1"/>
    <filterColumn colId="2" hiddenButton="1"/>
    <filterColumn colId="3" hiddenButton="1"/>
  </autoFilter>
  <tableColumns count="4">
    <tableColumn id="1" xr3:uid="{4CFA80C3-DEB3-4B4A-9E49-3D6D6636D932}" name="Klasa" totalsRowLabel="Total" dataDxfId="34" totalsRowDxfId="35"/>
    <tableColumn id="2" xr3:uid="{072BA432-F805-4448-BAF8-241ED169E504}" name="Winno być" totalsRowFunction="custom" dataDxfId="32" totalsRowDxfId="33">
      <calculatedColumnFormula>SUMIFS('Lista uczniów_składki'!U:U,'Lista uczniów_składki'!C:C,'Do wiadomości rodziców'!C33)</calculatedColumnFormula>
      <totalsRowFormula>SUBTOTAL(109,D33:D39)</totalsRowFormula>
    </tableColumn>
    <tableColumn id="3" xr3:uid="{05736097-845B-49B7-B1E1-260125C81AF5}" name="Zebrane" totalsRowFunction="custom" dataDxfId="30" totalsRowDxfId="31">
      <calculatedColumnFormula>SUMIFS('Lista uczniów_składki'!T:T,'Lista uczniów_składki'!C:C,'Do wiadomości rodziców'!C33)</calculatedColumnFormula>
      <totalsRowFormula>SUBTOTAL(109,E33:E39)</totalsRowFormula>
    </tableColumn>
    <tableColumn id="4" xr3:uid="{31037AA5-1B90-4366-9922-F6F3DAD4F76D}" name="Delta" totalsRowFunction="sum" dataDxfId="28" totalsRowDxfId="29">
      <calculatedColumnFormula>E33-D33</calculatedColumnFormula>
    </tableColumn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E5D8A7AB-3E1A-49E9-AB9F-C82009CBFA93}" name="Tabela6" displayName="Tabela6" ref="A1:D20" totalsRowShown="0" headerRowDxfId="27" dataDxfId="26">
  <autoFilter ref="A1:D20" xr:uid="{E5D8A7AB-3E1A-49E9-AB9F-C82009CBFA93}"/>
  <tableColumns count="4">
    <tableColumn id="1" xr3:uid="{72D2B9BA-B8F5-46B9-957A-1A3A81820E5A}" name="Zadanie" dataDxfId="25"/>
    <tableColumn id="2" xr3:uid="{3BC5AF38-53FC-47B0-BA90-FCE9729F8993}" name="Kiedy?" dataDxfId="24"/>
    <tableColumn id="3" xr3:uid="{2F091C15-DA1E-49A4-87E7-C6DAAC73670E}" name="Kto?" dataDxfId="23"/>
    <tableColumn id="4" xr3:uid="{D623CE9C-2597-414F-8E49-290E83236548}" name="Wykonane?" dataDxfId="22"/>
  </tableColumns>
  <tableStyleInfo name="TableStyleMedium18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BF3AC23-C74B-49DD-9808-FDBBE95767F6}" name="Tabela3" displayName="Tabela3" ref="A7:B9" totalsRowShown="0">
  <autoFilter ref="A7:B9" xr:uid="{CBF3AC23-C74B-49DD-9808-FDBBE95767F6}"/>
  <tableColumns count="2">
    <tableColumn id="1" xr3:uid="{AFD2042A-BAC8-48FB-A3E9-D86DDF22F1F0}" name="Typ uczestnika">
      <calculatedColumnFormula>Podsumowanie!A19</calculatedColumnFormula>
    </tableColumn>
    <tableColumn id="2" xr3:uid="{76F2BEEF-E7F4-4394-B172-BB6DACDEB3E1}" name="Wysokosc skladki" dataDxfId="21">
      <calculatedColumnFormula>Podsumowanie!B19</calculatedColumnFormula>
    </tableColumn>
  </tableColumns>
  <tableStyleInfo name="TableStyleLight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18163D81-1888-4DED-9750-4CE5C00016F0}" name="Tabela7" displayName="Tabela7" ref="H7:M14" totalsRowShown="0">
  <autoFilter ref="H7:M14" xr:uid="{18163D81-1888-4DED-9750-4CE5C00016F0}"/>
  <tableColumns count="6">
    <tableColumn id="1" xr3:uid="{33A67B94-D6ED-408B-ACA2-C4B3AB991DD1}" name="KLASA">
      <calculatedColumnFormula>Podsumowanie!A2</calculatedColumnFormula>
    </tableColumn>
    <tableColumn id="2" xr3:uid="{444E8073-CA91-4225-88EB-8D0ACDDAB30E}" name="# UCZNIÓW (którzy idą)">
      <calculatedColumnFormula>Podsumowanie!B2</calculatedColumnFormula>
    </tableColumn>
    <tableColumn id="3" xr3:uid="{4112849A-4A7C-4F39-84A8-B25902F70C9C}" name="# OS. Tow.">
      <calculatedColumnFormula>Podsumowanie!C2</calculatedColumnFormula>
    </tableColumn>
    <tableColumn id="4" xr3:uid="{78F45C0D-99A6-4C07-949E-3A3E813394D5}" name="Składki_winno być" dataDxfId="20">
      <calculatedColumnFormula>Podsumowanie!J2</calculatedColumnFormula>
    </tableColumn>
    <tableColumn id="5" xr3:uid="{4303B78D-A405-4793-B48A-4D81DD2787AC}" name="Składki zebrane" dataDxfId="19">
      <calculatedColumnFormula>Podsumowanie!K2</calculatedColumnFormula>
    </tableColumn>
    <tableColumn id="6" xr3:uid="{57765080-FD7C-4FAA-8AF2-D08F22822378}" name="Delta" dataDxfId="18">
      <calculatedColumnFormula>Podsumowanie!L2</calculatedColumnFormula>
    </tableColumn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883EA96F-947E-4E01-A7EA-22FDEC176300}" name="Tabela8" displayName="Tabela8" ref="P8:S16" totalsRowShown="0">
  <autoFilter ref="P8:S16" xr:uid="{883EA96F-947E-4E01-A7EA-22FDEC176300}"/>
  <tableColumns count="4">
    <tableColumn id="1" xr3:uid="{0C071723-C3AA-4BDA-A2A1-2F40FBF21F56}" name="Klasa">
      <calculatedColumnFormula>'Do wiadomości rodziców'!C33</calculatedColumnFormula>
    </tableColumn>
    <tableColumn id="2" xr3:uid="{A2E95AA7-E4D6-46D9-BE31-99723225317F}" name="Winno być" dataDxfId="17">
      <calculatedColumnFormula>'Do wiadomości rodziców'!D33</calculatedColumnFormula>
    </tableColumn>
    <tableColumn id="3" xr3:uid="{72120E01-8410-473A-A07A-EE79D6A61B55}" name="Zebrane" dataDxfId="16">
      <calculatedColumnFormula>'Do wiadomości rodziców'!E33</calculatedColumnFormula>
    </tableColumn>
    <tableColumn id="4" xr3:uid="{D8999F78-E353-4A28-9C51-08FD47013472}" name="Delta" dataDxfId="15">
      <calculatedColumnFormula>'Do wiadomości rodziców'!F33</calculatedColumnFormula>
    </tableColumn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7549AA63-24A7-47B0-99DA-2C0F1ABA923C}" name="Tabela9" displayName="Tabela9" ref="X8:Y11" totalsRowShown="0">
  <autoFilter ref="X8:Y11" xr:uid="{7549AA63-24A7-47B0-99DA-2C0F1ABA923C}"/>
  <tableColumns count="2">
    <tableColumn id="1" xr3:uid="{57E88378-C3A6-4476-A582-347F9990F812}" name="Kolumna1"/>
    <tableColumn id="2" xr3:uid="{0C0417DC-733D-45E0-B1FA-DC42EDB812ED}" name="Kolumna2"/>
  </tableColumns>
  <tableStyleInfo name="TableStyleLight9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7177D18-1CC5-41E8-95CF-05C4F8E93FC6}" name="Tabela11" displayName="Tabela11" ref="AC6:AG18" totalsRowShown="0">
  <autoFilter ref="AC6:AG18" xr:uid="{37177D18-1CC5-41E8-95CF-05C4F8E93FC6}"/>
  <tableColumns count="5">
    <tableColumn id="1" xr3:uid="{02D600A9-2A91-4B50-AA92-651744FB5464}" name="Opis"/>
    <tableColumn id="2" xr3:uid="{996F8A9D-618A-4B63-B282-7329081E1450}" name="Koszt" dataDxfId="14">
      <calculatedColumnFormula>Wydatki!F3</calculatedColumnFormula>
    </tableColumn>
    <tableColumn id="3" xr3:uid="{6C391F28-0494-4B85-B99F-480B3CA91F14}" name="Zaliczka" dataDxfId="13">
      <calculatedColumnFormula>Wydatki!G3</calculatedColumnFormula>
    </tableColumn>
    <tableColumn id="4" xr3:uid="{5E495734-D7AC-4AF5-B386-F2DE4C3FCD8D}" name="Pozostało" dataDxfId="12">
      <calculatedColumnFormula>Wydatki!H3</calculatedColumnFormula>
    </tableColumn>
    <tableColumn id="5" xr3:uid="{3829CC69-97C1-455C-8241-7AC2E9DA2784}" name="Komentarz"/>
  </tableColumns>
  <tableStyleInfo name="TableStyleLight9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C0DD5E66-EED0-41B1-AB61-AA18C7AF5095}" name="Tabela12" displayName="Tabela12" ref="AN6:AO13" totalsRowShown="0">
  <autoFilter ref="AN6:AO13" xr:uid="{C0DD5E66-EED0-41B1-AB61-AA18C7AF5095}"/>
  <tableColumns count="2">
    <tableColumn id="1" xr3:uid="{AE6349C5-0FDE-4F2A-8C9D-4A528349F072}" name="KLASA">
      <calculatedColumnFormula>Podsumowanie!A27</calculatedColumnFormula>
    </tableColumn>
    <tableColumn id="2" xr3:uid="{4D56982F-D43D-450D-980E-4831DB03E10C}" name="Zwrot per klasa" dataDxfId="11">
      <calculatedColumnFormula>Podsumowanie!B27</calculatedColumnFormula>
    </tableColumn>
  </tableColumns>
  <tableStyleInfo name="TableStyleLight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7147B98-6371-4225-B21A-FFE9D627E903}" name="Tabela4" displayName="Tabela4" ref="A1:I235" totalsRowCount="1" headerRowDxfId="10" totalsRowDxfId="9">
  <autoFilter ref="A1:I234" xr:uid="{47147B98-6371-4225-B21A-FFE9D627E903}"/>
  <tableColumns count="9">
    <tableColumn id="1" xr3:uid="{F78AEAEB-D0CB-4F82-9BA0-F0F9450E5207}" name="ID" totalsRowDxfId="8">
      <extLst>
        <ext xmlns:xlmsforms="http://schemas.microsoft.com/office/spreadsheetml/2023/msForms" uri="{FCC71383-01E1-4257-9335-427F07BE8D7F}">
          <xlmsforms:question id="id"/>
        </ext>
      </extLst>
    </tableColumn>
    <tableColumn id="2" xr3:uid="{BFF42BD2-282F-4FEA-950A-9E021E34231C}" name="Godzina rozpoczęcia" totalsRowDxfId="7">
      <extLst>
        <ext xmlns:xlmsforms="http://schemas.microsoft.com/office/spreadsheetml/2023/msForms" uri="{FCC71383-01E1-4257-9335-427F07BE8D7F}">
          <xlmsforms:question id="startDate"/>
        </ext>
      </extLst>
    </tableColumn>
    <tableColumn id="3" xr3:uid="{28623EE1-05C5-4A23-970C-6AEA952AF526}" name="Godzina ukończenia" totalsRowDxfId="6">
      <extLst>
        <ext xmlns:xlmsforms="http://schemas.microsoft.com/office/spreadsheetml/2023/msForms" uri="{FCC71383-01E1-4257-9335-427F07BE8D7F}">
          <xlmsforms:question id="submitDate"/>
        </ext>
      </extLst>
    </tableColumn>
    <tableColumn id="4" xr3:uid="{FA2A482D-F0E5-4DA8-B8E3-826493BD08BD}" name="Adres e-mail" totalsRowDxfId="5">
      <extLst>
        <ext xmlns:xlmsforms="http://schemas.microsoft.com/office/spreadsheetml/2023/msForms" uri="{FCC71383-01E1-4257-9335-427F07BE8D7F}">
          <xlmsforms:question id="responder"/>
        </ext>
      </extLst>
    </tableColumn>
    <tableColumn id="6" xr3:uid="{53DD933A-227C-414A-8E3E-7C971D5CF940}" name="Imię" totalsRowDxfId="4">
      <extLst>
        <ext xmlns:xlmsforms="http://schemas.microsoft.com/office/spreadsheetml/2023/msForms" uri="{FCC71383-01E1-4257-9335-427F07BE8D7F}">
          <xlmsforms:question id="rdd36c03c2b6f47f180f56e6988670bfb"/>
        </ext>
      </extLst>
    </tableColumn>
    <tableColumn id="7" xr3:uid="{F7F753AE-5047-4958-AE71-F6F175BEF1D6}" name="Nazwisko" totalsRowDxfId="3">
      <extLst>
        <ext xmlns:xlmsforms="http://schemas.microsoft.com/office/spreadsheetml/2023/msForms" uri="{FCC71383-01E1-4257-9335-427F07BE8D7F}">
          <xlmsforms:question id="r16721819a77c4716b39ce1d4285672a6"/>
        </ext>
      </extLst>
    </tableColumn>
    <tableColumn id="8" xr3:uid="{048FAD24-537D-44E6-88A0-7B7615F4C559}" name="Klasa" totalsRowDxfId="2">
      <extLst>
        <ext xmlns:xlmsforms="http://schemas.microsoft.com/office/spreadsheetml/2023/msForms" uri="{FCC71383-01E1-4257-9335-427F07BE8D7F}">
          <xlmsforms:question id="rc8285f4152ae4d4e99c53387efc9405f"/>
        </ext>
      </extLst>
    </tableColumn>
    <tableColumn id="9" xr3:uid="{644FC830-A1FA-4E3A-8E1F-4FFF41043318}" name="Czy będziesz uczestniczył/uczestniczyła w Studniówce?" totalsRowDxfId="1">
      <extLst>
        <ext xmlns:xlmsforms="http://schemas.microsoft.com/office/spreadsheetml/2023/msForms" uri="{FCC71383-01E1-4257-9335-427F07BE8D7F}">
          <xlmsforms:question id="r79e66a5f8ea848a6b925225381de5bc8"/>
        </ext>
      </extLst>
    </tableColumn>
    <tableColumn id="10" xr3:uid="{69C17984-6500-4415-B197-FE953DFDF533}" name="Czy idziesz z osobą towarzyszącą?" totalsRowDxfId="0">
      <extLst>
        <ext xmlns:xlmsforms="http://schemas.microsoft.com/office/spreadsheetml/2023/msForms" uri="{FCC71383-01E1-4257-9335-427F07BE8D7F}">
          <xlmsforms:question id="rf8b21ef5b7784f6b9f607671e1cab5ff"/>
        </ext>
      </extLst>
    </tableColumn>
  </tableColumns>
  <tableStyleInfo name="TableStyleMedium2" showFirstColumn="0" showLastColumn="0" showRowStripes="1" showColumnStripes="0"/>
  <extLst>
    <ext xmlns:xlmsforms="http://schemas.microsoft.com/office/spreadsheetml/2023/msForms" uri="{839C7E11-91E4-4DBD-9C5D-0DEA604FA9AC}">
      <xlmsforms:msForm id="DQSIkWdsW0yxEjajBLZtrQAAAAAAAAAAAAO__Sh44bZUMjNKU1FXWDQ3S1U2RDdCTVFXN1A2NFVZWi4u" isFormConnected="1" maxResponseId="202" latestEventMarker="212">
        <xlmsforms:syncedQuestionId>id</xlmsforms:syncedQuestionId>
        <xlmsforms:syncedQuestionId>startDate</xlmsforms:syncedQuestionId>
        <xlmsforms:syncedQuestionId>submitDate</xlmsforms:syncedQuestionId>
        <xlmsforms:syncedQuestionId>responder</xlmsforms:syncedQuestionId>
        <xlmsforms:syncedQuestionId>responderName</xlmsforms:syncedQuestionId>
        <xlmsforms:syncedQuestionId>rdd36c03c2b6f47f180f56e6988670bfb</xlmsforms:syncedQuestionId>
        <xlmsforms:syncedQuestionId>r16721819a77c4716b39ce1d4285672a6</xlmsforms:syncedQuestionId>
        <xlmsforms:syncedQuestionId>rc8285f4152ae4d4e99c53387efc9405f</xlmsforms:syncedQuestionId>
        <xlmsforms:syncedQuestionId>r79e66a5f8ea848a6b925225381de5bc8</xlmsforms:syncedQuestionId>
        <xlmsforms:syncedQuestionId>rf8b21ef5b7784f6b9f607671e1cab5ff</xlmsforms:syncedQuestionId>
      </xlmsforms:msForm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.xml"/><Relationship Id="rId2" Type="http://schemas.openxmlformats.org/officeDocument/2006/relationships/table" Target="../tables/table6.xml"/><Relationship Id="rId1" Type="http://schemas.openxmlformats.org/officeDocument/2006/relationships/table" Target="../tables/table5.xml"/><Relationship Id="rId6" Type="http://schemas.openxmlformats.org/officeDocument/2006/relationships/table" Target="../tables/table10.xml"/><Relationship Id="rId5" Type="http://schemas.openxmlformats.org/officeDocument/2006/relationships/table" Target="../tables/table9.xml"/><Relationship Id="rId4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64"/>
  <sheetViews>
    <sheetView showGridLines="0" tabSelected="1" workbookViewId="0">
      <selection activeCell="F116" sqref="F116"/>
    </sheetView>
  </sheetViews>
  <sheetFormatPr defaultColWidth="9.140625" defaultRowHeight="15"/>
  <cols>
    <col min="1" max="1" width="18.7109375" style="2" bestFit="1" customWidth="1"/>
    <col min="2" max="2" width="12.140625" style="2" bestFit="1" customWidth="1"/>
    <col min="3" max="3" width="8.5703125" style="2" bestFit="1" customWidth="1"/>
    <col min="4" max="4" width="12.85546875" style="2" bestFit="1" customWidth="1"/>
    <col min="5" max="5" width="15.28515625" style="2" customWidth="1"/>
    <col min="6" max="6" width="35.7109375" style="2" customWidth="1"/>
    <col min="7" max="22" width="18" style="4" customWidth="1"/>
    <col min="23" max="23" width="9.42578125" style="55" bestFit="1" customWidth="1"/>
    <col min="24" max="24" width="41.7109375" style="55" customWidth="1"/>
    <col min="25" max="25" width="4.140625" style="2" customWidth="1"/>
    <col min="26" max="26" width="23.42578125" style="2" hidden="1" customWidth="1"/>
    <col min="27" max="27" width="10" style="2" hidden="1" customWidth="1"/>
    <col min="28" max="16384" width="9.140625" style="2"/>
  </cols>
  <sheetData>
    <row r="1" spans="1:27">
      <c r="G1" s="4">
        <f>SUBTOTAL(9,G3:G614)</f>
        <v>1800</v>
      </c>
      <c r="H1" s="4">
        <f t="shared" ref="H1:S1" si="0">SUBTOTAL(9,H3:H614)</f>
        <v>0</v>
      </c>
      <c r="I1" s="4">
        <f t="shared" si="0"/>
        <v>0</v>
      </c>
      <c r="J1" s="4">
        <f t="shared" si="0"/>
        <v>0</v>
      </c>
      <c r="K1" s="4">
        <f t="shared" si="0"/>
        <v>0</v>
      </c>
      <c r="L1" s="4">
        <f t="shared" si="0"/>
        <v>0</v>
      </c>
      <c r="M1" s="4">
        <f t="shared" si="0"/>
        <v>0</v>
      </c>
      <c r="N1" s="4">
        <f t="shared" si="0"/>
        <v>0</v>
      </c>
      <c r="O1" s="4">
        <f t="shared" si="0"/>
        <v>0</v>
      </c>
      <c r="P1" s="4">
        <f t="shared" si="0"/>
        <v>3300</v>
      </c>
      <c r="Q1" s="4">
        <f t="shared" si="0"/>
        <v>5000</v>
      </c>
      <c r="R1" s="4">
        <f t="shared" si="0"/>
        <v>0</v>
      </c>
      <c r="S1" s="4">
        <f t="shared" si="0"/>
        <v>0</v>
      </c>
      <c r="T1" s="4">
        <f>SUBTOTAL(9,T3:T614)</f>
        <v>10100</v>
      </c>
      <c r="U1" s="4">
        <f>SUBTOTAL(9,U3:U614)</f>
        <v>20180</v>
      </c>
      <c r="V1" s="4">
        <f>SUBTOTAL(9,V3:V614)</f>
        <v>-10080</v>
      </c>
    </row>
    <row r="2" spans="1:27" s="3" customFormat="1" ht="36.75" customHeight="1">
      <c r="A2" s="36" t="s">
        <v>0</v>
      </c>
      <c r="B2" s="36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7" t="s">
        <v>6</v>
      </c>
      <c r="H2" s="36" t="s">
        <v>7</v>
      </c>
      <c r="I2" s="36" t="s">
        <v>8</v>
      </c>
      <c r="J2" s="36" t="s">
        <v>9</v>
      </c>
      <c r="K2" s="36" t="s">
        <v>10</v>
      </c>
      <c r="L2" s="36" t="s">
        <v>11</v>
      </c>
      <c r="M2" s="36" t="s">
        <v>12</v>
      </c>
      <c r="N2" s="36" t="s">
        <v>13</v>
      </c>
      <c r="O2" s="36" t="s">
        <v>14</v>
      </c>
      <c r="P2" s="36" t="s">
        <v>15</v>
      </c>
      <c r="Q2" s="36" t="s">
        <v>16</v>
      </c>
      <c r="R2" s="36" t="s">
        <v>17</v>
      </c>
      <c r="S2" s="36" t="s">
        <v>18</v>
      </c>
      <c r="T2" s="36" t="s">
        <v>19</v>
      </c>
      <c r="U2" s="36" t="s">
        <v>20</v>
      </c>
      <c r="V2" s="36" t="s">
        <v>21</v>
      </c>
      <c r="W2" s="37" t="s">
        <v>22</v>
      </c>
      <c r="X2" s="36" t="s">
        <v>23</v>
      </c>
    </row>
    <row r="3" spans="1:27" ht="17.25" hidden="1" customHeight="1">
      <c r="A3" s="4" t="s">
        <v>24</v>
      </c>
      <c r="B3" s="4" t="s">
        <v>25</v>
      </c>
      <c r="C3" s="2" t="s">
        <v>26</v>
      </c>
      <c r="D3" s="2" t="s">
        <v>27</v>
      </c>
      <c r="E3" s="2" t="s">
        <v>27</v>
      </c>
      <c r="G3" s="4">
        <v>50</v>
      </c>
      <c r="T3" s="4">
        <f>SUM(G3:S3)</f>
        <v>50</v>
      </c>
      <c r="U3" s="36">
        <f>IF(Table2[[#This Row],[Nazwisko]]="","",IF(AND(D3="Nie",E3="Nie"),0,IF(AND(D3="Tak",E3="Nie"),Podsumowanie!$B$19,Podsumowanie!$C$19)))</f>
        <v>700</v>
      </c>
      <c r="V3" s="36">
        <f t="shared" ref="V3:V66" si="1">IFERROR(T3-U3,"")</f>
        <v>-650</v>
      </c>
      <c r="W3" s="37" t="str">
        <f t="shared" ref="W3:W66" si="2">IF(OR(A3="",V3=0),"",IF(OR(V3&gt;-0.01,V3=0),"OK","NOK"))</f>
        <v>NOK</v>
      </c>
      <c r="X3" s="4"/>
      <c r="Z3" s="4" t="str">
        <f>Table2[[#This Row],[Nazwisko]]&amp;Table2[[#This Row],[Imię]]</f>
        <v>RząsowskaDaria</v>
      </c>
      <c r="AA3" s="2">
        <f>COUNTIF(Z3:$Z$275,Z3)</f>
        <v>1</v>
      </c>
    </row>
    <row r="4" spans="1:27" hidden="1">
      <c r="A4" s="4" t="s">
        <v>28</v>
      </c>
      <c r="B4" s="4" t="s">
        <v>29</v>
      </c>
      <c r="C4" s="2" t="s">
        <v>26</v>
      </c>
      <c r="D4" s="2" t="s">
        <v>27</v>
      </c>
      <c r="E4" s="2" t="s">
        <v>27</v>
      </c>
      <c r="G4" s="4">
        <v>50</v>
      </c>
      <c r="T4" s="4">
        <f t="shared" ref="T4:T67" si="3">SUM(G4:S4)</f>
        <v>50</v>
      </c>
      <c r="U4" s="36">
        <f>IF(Table2[[#This Row],[Nazwisko]]="","",IF(AND(D4="Nie",E4="Nie"),0,IF(AND(D4="Tak",E4="Nie"),Podsumowanie!$B$19,Podsumowanie!$C$19)))</f>
        <v>700</v>
      </c>
      <c r="V4" s="4">
        <f t="shared" si="1"/>
        <v>-650</v>
      </c>
      <c r="W4" s="55" t="str">
        <f t="shared" si="2"/>
        <v>NOK</v>
      </c>
      <c r="X4" s="4"/>
      <c r="Z4" s="4" t="str">
        <f>Table2[[#This Row],[Nazwisko]]&amp;Table2[[#This Row],[Imię]]</f>
        <v>SzwejdaMartyna</v>
      </c>
      <c r="AA4" s="2">
        <f>COUNTIF(Z4:$Z$275,Z4)</f>
        <v>1</v>
      </c>
    </row>
    <row r="5" spans="1:27" hidden="1">
      <c r="A5" s="4" t="s">
        <v>30</v>
      </c>
      <c r="B5" s="4" t="s">
        <v>31</v>
      </c>
      <c r="C5" s="2" t="s">
        <v>32</v>
      </c>
      <c r="D5" s="2" t="s">
        <v>27</v>
      </c>
      <c r="E5" s="2" t="s">
        <v>33</v>
      </c>
      <c r="G5" s="4">
        <v>50</v>
      </c>
      <c r="Q5" s="4">
        <v>200</v>
      </c>
      <c r="T5" s="4">
        <f t="shared" si="3"/>
        <v>250</v>
      </c>
      <c r="U5" s="36">
        <f>IF(Table2[[#This Row],[Nazwisko]]="","",IF(AND(D5="Nie",E5="Nie"),0,IF(AND(D5="Tak",E5="Nie"),Podsumowanie!$B$19,Podsumowanie!$C$19)))</f>
        <v>430</v>
      </c>
      <c r="V5" s="4">
        <f t="shared" si="1"/>
        <v>-180</v>
      </c>
      <c r="W5" s="55" t="str">
        <f t="shared" si="2"/>
        <v>NOK</v>
      </c>
      <c r="X5" s="4"/>
      <c r="Z5" s="4" t="str">
        <f>Table2[[#This Row],[Nazwisko]]&amp;Table2[[#This Row],[Imię]]</f>
        <v>SuroszMikołaj</v>
      </c>
      <c r="AA5" s="2">
        <f>COUNTIF(Z5:$Z$275,Z5)</f>
        <v>1</v>
      </c>
    </row>
    <row r="6" spans="1:27" hidden="1">
      <c r="A6" s="4" t="s">
        <v>34</v>
      </c>
      <c r="B6" s="4" t="s">
        <v>35</v>
      </c>
      <c r="C6" s="2" t="s">
        <v>26</v>
      </c>
      <c r="D6" s="2" t="s">
        <v>27</v>
      </c>
      <c r="E6" s="2" t="s">
        <v>27</v>
      </c>
      <c r="G6" s="4">
        <v>50</v>
      </c>
      <c r="T6" s="4">
        <f t="shared" si="3"/>
        <v>50</v>
      </c>
      <c r="U6" s="36">
        <f>IF(Table2[[#This Row],[Nazwisko]]="","",IF(AND(D6="Nie",E6="Nie"),0,IF(AND(D6="Tak",E6="Nie"),Podsumowanie!$B$19,Podsumowanie!$C$19)))</f>
        <v>700</v>
      </c>
      <c r="V6" s="4">
        <f t="shared" si="1"/>
        <v>-650</v>
      </c>
      <c r="W6" s="55" t="str">
        <f t="shared" si="2"/>
        <v>NOK</v>
      </c>
      <c r="X6" s="4"/>
      <c r="Z6" s="4" t="str">
        <f>Table2[[#This Row],[Nazwisko]]&amp;Table2[[#This Row],[Imię]]</f>
        <v>HofmanAleksandra</v>
      </c>
      <c r="AA6" s="2">
        <f>COUNTIF(Z6:$Z$275,Z6)</f>
        <v>1</v>
      </c>
    </row>
    <row r="7" spans="1:27" hidden="1">
      <c r="A7" s="4" t="s">
        <v>36</v>
      </c>
      <c r="B7" s="4" t="s">
        <v>37</v>
      </c>
      <c r="C7" s="2" t="s">
        <v>26</v>
      </c>
      <c r="D7" s="2" t="s">
        <v>27</v>
      </c>
      <c r="E7" s="2" t="s">
        <v>27</v>
      </c>
      <c r="G7" s="4">
        <v>50</v>
      </c>
      <c r="T7" s="4">
        <f t="shared" si="3"/>
        <v>50</v>
      </c>
      <c r="U7" s="36">
        <f>IF(Table2[[#This Row],[Nazwisko]]="","",IF(AND(D7="Nie",E7="Nie"),0,IF(AND(D7="Tak",E7="Nie"),Podsumowanie!$B$19,Podsumowanie!$C$19)))</f>
        <v>700</v>
      </c>
      <c r="V7" s="4">
        <f t="shared" si="1"/>
        <v>-650</v>
      </c>
      <c r="W7" s="55" t="str">
        <f t="shared" si="2"/>
        <v>NOK</v>
      </c>
      <c r="X7" s="4"/>
      <c r="Z7" s="4" t="str">
        <f>Table2[[#This Row],[Nazwisko]]&amp;Table2[[#This Row],[Imię]]</f>
        <v>DworakPatrycja</v>
      </c>
      <c r="AA7" s="2">
        <f>COUNTIF(Z7:$Z$275,Z7)</f>
        <v>1</v>
      </c>
    </row>
    <row r="8" spans="1:27" hidden="1">
      <c r="A8" s="4" t="s">
        <v>38</v>
      </c>
      <c r="B8" s="4" t="s">
        <v>39</v>
      </c>
      <c r="C8" s="2" t="s">
        <v>32</v>
      </c>
      <c r="D8" s="2" t="s">
        <v>27</v>
      </c>
      <c r="E8" s="2" t="s">
        <v>27</v>
      </c>
      <c r="G8" s="4">
        <v>50</v>
      </c>
      <c r="Q8" s="4">
        <v>200</v>
      </c>
      <c r="T8" s="4">
        <f t="shared" si="3"/>
        <v>250</v>
      </c>
      <c r="U8" s="36">
        <f>IF(Table2[[#This Row],[Nazwisko]]="","",IF(AND(D8="Nie",E8="Nie"),0,IF(AND(D8="Tak",E8="Nie"),Podsumowanie!$B$19,Podsumowanie!$C$19)))</f>
        <v>700</v>
      </c>
      <c r="V8" s="4">
        <f t="shared" si="1"/>
        <v>-450</v>
      </c>
      <c r="W8" s="55" t="str">
        <f t="shared" si="2"/>
        <v>NOK</v>
      </c>
      <c r="X8" s="4"/>
      <c r="Z8" s="4" t="str">
        <f>Table2[[#This Row],[Nazwisko]]&amp;Table2[[#This Row],[Imię]]</f>
        <v>KrzyszkowskaLena</v>
      </c>
      <c r="AA8" s="2">
        <f>COUNTIF(Z8:$Z$275,Z8)</f>
        <v>1</v>
      </c>
    </row>
    <row r="9" spans="1:27" hidden="1">
      <c r="A9" s="4" t="s">
        <v>40</v>
      </c>
      <c r="B9" s="4" t="s">
        <v>35</v>
      </c>
      <c r="C9" s="2" t="s">
        <v>26</v>
      </c>
      <c r="D9" s="2" t="s">
        <v>27</v>
      </c>
      <c r="E9" s="2" t="s">
        <v>27</v>
      </c>
      <c r="G9" s="4">
        <v>50</v>
      </c>
      <c r="T9" s="4">
        <f t="shared" si="3"/>
        <v>50</v>
      </c>
      <c r="U9" s="36">
        <f>IF(Table2[[#This Row],[Nazwisko]]="","",IF(AND(D9="Nie",E9="Nie"),0,IF(AND(D9="Tak",E9="Nie"),Podsumowanie!$B$19,Podsumowanie!$C$19)))</f>
        <v>700</v>
      </c>
      <c r="V9" s="4">
        <f t="shared" si="1"/>
        <v>-650</v>
      </c>
      <c r="W9" s="55" t="str">
        <f t="shared" si="2"/>
        <v>NOK</v>
      </c>
      <c r="X9" s="4"/>
      <c r="Z9" s="4" t="str">
        <f>Table2[[#This Row],[Nazwisko]]&amp;Table2[[#This Row],[Imię]]</f>
        <v>AlamaAleksandra</v>
      </c>
      <c r="AA9" s="2">
        <f>COUNTIF(Z9:$Z$275,Z9)</f>
        <v>1</v>
      </c>
    </row>
    <row r="10" spans="1:27" hidden="1">
      <c r="A10" s="4" t="s">
        <v>41</v>
      </c>
      <c r="B10" s="4" t="s">
        <v>42</v>
      </c>
      <c r="C10" s="2" t="s">
        <v>32</v>
      </c>
      <c r="D10" s="2" t="s">
        <v>27</v>
      </c>
      <c r="E10" s="2" t="s">
        <v>33</v>
      </c>
      <c r="G10" s="4">
        <v>50</v>
      </c>
      <c r="Q10" s="4">
        <v>200</v>
      </c>
      <c r="T10" s="4">
        <f t="shared" si="3"/>
        <v>250</v>
      </c>
      <c r="U10" s="36">
        <f>IF(Table2[[#This Row],[Nazwisko]]="","",IF(AND(D10="Nie",E10="Nie"),0,IF(AND(D10="Tak",E10="Nie"),Podsumowanie!$B$19,Podsumowanie!$C$19)))</f>
        <v>430</v>
      </c>
      <c r="V10" s="4">
        <f t="shared" si="1"/>
        <v>-180</v>
      </c>
      <c r="W10" s="55" t="str">
        <f t="shared" si="2"/>
        <v>NOK</v>
      </c>
      <c r="X10" s="4"/>
      <c r="Z10" s="4" t="str">
        <f>Table2[[#This Row],[Nazwisko]]&amp;Table2[[#This Row],[Imię]]</f>
        <v>PółrolaAlan</v>
      </c>
      <c r="AA10" s="2">
        <f>COUNTIF(Z10:$Z$275,Z10)</f>
        <v>1</v>
      </c>
    </row>
    <row r="11" spans="1:27" hidden="1">
      <c r="A11" s="4" t="s">
        <v>43</v>
      </c>
      <c r="B11" s="4" t="s">
        <v>44</v>
      </c>
      <c r="C11" s="2" t="s">
        <v>32</v>
      </c>
      <c r="D11" s="2" t="s">
        <v>27</v>
      </c>
      <c r="E11" s="2" t="s">
        <v>27</v>
      </c>
      <c r="G11" s="4">
        <v>50</v>
      </c>
      <c r="Q11" s="4">
        <v>200</v>
      </c>
      <c r="T11" s="4">
        <f t="shared" si="3"/>
        <v>250</v>
      </c>
      <c r="U11" s="36">
        <f>IF(Table2[[#This Row],[Nazwisko]]="","",IF(AND(D11="Nie",E11="Nie"),0,IF(AND(D11="Tak",E11="Nie"),Podsumowanie!$B$19,Podsumowanie!$C$19)))</f>
        <v>700</v>
      </c>
      <c r="V11" s="4">
        <f t="shared" si="1"/>
        <v>-450</v>
      </c>
      <c r="W11" s="55" t="str">
        <f t="shared" si="2"/>
        <v>NOK</v>
      </c>
      <c r="X11" s="4"/>
      <c r="Z11" s="4" t="str">
        <f>Table2[[#This Row],[Nazwisko]]&amp;Table2[[#This Row],[Imię]]</f>
        <v>BerskiJakub</v>
      </c>
      <c r="AA11" s="2">
        <f>COUNTIF(Z11:$Z$275,Z11)</f>
        <v>1</v>
      </c>
    </row>
    <row r="12" spans="1:27" hidden="1">
      <c r="A12" s="4" t="s">
        <v>45</v>
      </c>
      <c r="B12" s="4" t="s">
        <v>46</v>
      </c>
      <c r="C12" s="2" t="s">
        <v>26</v>
      </c>
      <c r="D12" s="2" t="s">
        <v>27</v>
      </c>
      <c r="E12" s="2" t="s">
        <v>27</v>
      </c>
      <c r="G12" s="4">
        <v>50</v>
      </c>
      <c r="T12" s="4">
        <f t="shared" si="3"/>
        <v>50</v>
      </c>
      <c r="U12" s="36">
        <f>IF(Table2[[#This Row],[Nazwisko]]="","",IF(AND(D12="Nie",E12="Nie"),0,IF(AND(D12="Tak",E12="Nie"),Podsumowanie!$B$19,Podsumowanie!$C$19)))</f>
        <v>700</v>
      </c>
      <c r="V12" s="4">
        <f t="shared" si="1"/>
        <v>-650</v>
      </c>
      <c r="W12" s="55" t="str">
        <f t="shared" si="2"/>
        <v>NOK</v>
      </c>
      <c r="X12" s="4"/>
      <c r="Z12" s="4" t="str">
        <f>Table2[[#This Row],[Nazwisko]]&amp;Table2[[#This Row],[Imię]]</f>
        <v>CiupaWeronika</v>
      </c>
      <c r="AA12" s="2">
        <f>COUNTIF(Z12:$Z$275,Z12)</f>
        <v>1</v>
      </c>
    </row>
    <row r="13" spans="1:27" hidden="1">
      <c r="A13" s="4" t="s">
        <v>47</v>
      </c>
      <c r="B13" s="4" t="s">
        <v>48</v>
      </c>
      <c r="C13" s="2" t="s">
        <v>32</v>
      </c>
      <c r="D13" s="2" t="s">
        <v>27</v>
      </c>
      <c r="E13" s="2" t="s">
        <v>33</v>
      </c>
      <c r="G13" s="4">
        <v>50</v>
      </c>
      <c r="Q13" s="4">
        <v>200</v>
      </c>
      <c r="T13" s="4">
        <f t="shared" si="3"/>
        <v>250</v>
      </c>
      <c r="U13" s="36">
        <f>IF(Table2[[#This Row],[Nazwisko]]="","",IF(AND(D13="Nie",E13="Nie"),0,IF(AND(D13="Tak",E13="Nie"),Podsumowanie!$B$19,Podsumowanie!$C$19)))</f>
        <v>430</v>
      </c>
      <c r="V13" s="4">
        <f t="shared" si="1"/>
        <v>-180</v>
      </c>
      <c r="W13" s="55" t="str">
        <f t="shared" si="2"/>
        <v>NOK</v>
      </c>
      <c r="X13" s="4"/>
      <c r="Z13" s="4" t="str">
        <f>Table2[[#This Row],[Nazwisko]]&amp;Table2[[#This Row],[Imię]]</f>
        <v>ZawalskaZofia</v>
      </c>
      <c r="AA13" s="2">
        <f>COUNTIF(Z13:$Z$275,Z13)</f>
        <v>1</v>
      </c>
    </row>
    <row r="14" spans="1:27" hidden="1">
      <c r="A14" s="4" t="s">
        <v>49</v>
      </c>
      <c r="B14" s="4" t="s">
        <v>50</v>
      </c>
      <c r="C14" s="2" t="s">
        <v>26</v>
      </c>
      <c r="D14" s="2" t="s">
        <v>27</v>
      </c>
      <c r="E14" s="2" t="s">
        <v>27</v>
      </c>
      <c r="G14" s="4">
        <v>50</v>
      </c>
      <c r="T14" s="4">
        <f t="shared" si="3"/>
        <v>50</v>
      </c>
      <c r="U14" s="36">
        <f>IF(Table2[[#This Row],[Nazwisko]]="","",IF(AND(D14="Nie",E14="Nie"),0,IF(AND(D14="Tak",E14="Nie"),Podsumowanie!$B$19,Podsumowanie!$C$19)))</f>
        <v>700</v>
      </c>
      <c r="V14" s="4">
        <f t="shared" si="1"/>
        <v>-650</v>
      </c>
      <c r="W14" s="55" t="str">
        <f t="shared" si="2"/>
        <v>NOK</v>
      </c>
      <c r="X14" s="4"/>
      <c r="Z14" s="4" t="str">
        <f>Table2[[#This Row],[Nazwisko]]&amp;Table2[[#This Row],[Imię]]</f>
        <v>RosikRoksana</v>
      </c>
      <c r="AA14" s="2">
        <f>COUNTIF(Z14:$Z$275,Z14)</f>
        <v>1</v>
      </c>
    </row>
    <row r="15" spans="1:27" hidden="1">
      <c r="A15" s="4" t="s">
        <v>51</v>
      </c>
      <c r="B15" s="4" t="s">
        <v>52</v>
      </c>
      <c r="C15" s="2" t="s">
        <v>53</v>
      </c>
      <c r="D15" s="2" t="s">
        <v>27</v>
      </c>
      <c r="E15" s="2" t="s">
        <v>27</v>
      </c>
      <c r="G15" s="4">
        <v>50</v>
      </c>
      <c r="Q15" s="4">
        <v>200</v>
      </c>
      <c r="T15" s="4">
        <f t="shared" si="3"/>
        <v>250</v>
      </c>
      <c r="U15" s="36">
        <f>IF(Table2[[#This Row],[Nazwisko]]="","",IF(AND(D15="Nie",E15="Nie"),0,IF(AND(D15="Tak",E15="Nie"),Podsumowanie!$B$19,Podsumowanie!$C$19)))</f>
        <v>700</v>
      </c>
      <c r="V15" s="4">
        <f t="shared" si="1"/>
        <v>-450</v>
      </c>
      <c r="W15" s="55" t="str">
        <f t="shared" si="2"/>
        <v>NOK</v>
      </c>
      <c r="X15" s="4"/>
      <c r="Z15" s="4" t="str">
        <f>Table2[[#This Row],[Nazwisko]]&amp;Table2[[#This Row],[Imię]]</f>
        <v>WardaWiktoria</v>
      </c>
      <c r="AA15" s="2">
        <f>COUNTIF(Z15:$Z$275,Z15)</f>
        <v>1</v>
      </c>
    </row>
    <row r="16" spans="1:27" hidden="1">
      <c r="A16" s="4" t="s">
        <v>54</v>
      </c>
      <c r="B16" s="4" t="s">
        <v>55</v>
      </c>
      <c r="C16" s="2" t="s">
        <v>53</v>
      </c>
      <c r="D16" s="2" t="s">
        <v>27</v>
      </c>
      <c r="E16" s="2" t="s">
        <v>27</v>
      </c>
      <c r="G16" s="4">
        <v>50</v>
      </c>
      <c r="Q16" s="4">
        <v>300</v>
      </c>
      <c r="T16" s="4">
        <f t="shared" si="3"/>
        <v>350</v>
      </c>
      <c r="U16" s="36">
        <f>IF(Table2[[#This Row],[Nazwisko]]="","",IF(AND(D16="Nie",E16="Nie"),0,IF(AND(D16="Tak",E16="Nie"),Podsumowanie!$B$19,Podsumowanie!$C$19)))</f>
        <v>700</v>
      </c>
      <c r="V16" s="4">
        <f t="shared" si="1"/>
        <v>-350</v>
      </c>
      <c r="W16" s="55" t="str">
        <f t="shared" si="2"/>
        <v>NOK</v>
      </c>
      <c r="X16" s="4"/>
      <c r="Z16" s="4" t="str">
        <f>Table2[[#This Row],[Nazwisko]]&amp;Table2[[#This Row],[Imię]]</f>
        <v>KozłowskiSeweryn</v>
      </c>
      <c r="AA16" s="2">
        <f>COUNTIF(Z16:$Z$275,Z16)</f>
        <v>1</v>
      </c>
    </row>
    <row r="17" spans="1:27" hidden="1">
      <c r="A17" s="4" t="s">
        <v>56</v>
      </c>
      <c r="B17" s="4" t="s">
        <v>57</v>
      </c>
      <c r="C17" s="2" t="s">
        <v>32</v>
      </c>
      <c r="D17" s="2" t="s">
        <v>27</v>
      </c>
      <c r="E17" s="2" t="s">
        <v>33</v>
      </c>
      <c r="G17" s="4">
        <v>50</v>
      </c>
      <c r="Q17" s="4">
        <v>200</v>
      </c>
      <c r="T17" s="4">
        <f t="shared" si="3"/>
        <v>250</v>
      </c>
      <c r="U17" s="36">
        <f>IF(Table2[[#This Row],[Nazwisko]]="","",IF(AND(D17="Nie",E17="Nie"),0,IF(AND(D17="Tak",E17="Nie"),Podsumowanie!$B$19,Podsumowanie!$C$19)))</f>
        <v>430</v>
      </c>
      <c r="V17" s="4">
        <f t="shared" si="1"/>
        <v>-180</v>
      </c>
      <c r="W17" s="55" t="str">
        <f t="shared" si="2"/>
        <v>NOK</v>
      </c>
      <c r="X17" s="4"/>
      <c r="Z17" s="4" t="str">
        <f>Table2[[#This Row],[Nazwisko]]&amp;Table2[[#This Row],[Imię]]</f>
        <v>NitaOliwia</v>
      </c>
      <c r="AA17" s="2">
        <f>COUNTIF(Z17:$Z$275,Z17)</f>
        <v>1</v>
      </c>
    </row>
    <row r="18" spans="1:27" hidden="1">
      <c r="A18" s="4" t="s">
        <v>58</v>
      </c>
      <c r="B18" s="4" t="s">
        <v>59</v>
      </c>
      <c r="C18" s="2" t="s">
        <v>53</v>
      </c>
      <c r="D18" s="2" t="s">
        <v>27</v>
      </c>
      <c r="E18" s="2" t="s">
        <v>33</v>
      </c>
      <c r="G18" s="4">
        <v>50</v>
      </c>
      <c r="Q18" s="4">
        <v>100</v>
      </c>
      <c r="T18" s="4">
        <f t="shared" si="3"/>
        <v>150</v>
      </c>
      <c r="U18" s="36">
        <f>IF(Table2[[#This Row],[Nazwisko]]="","",IF(AND(D18="Nie",E18="Nie"),0,IF(AND(D18="Tak",E18="Nie"),Podsumowanie!$B$19,Podsumowanie!$C$19)))</f>
        <v>430</v>
      </c>
      <c r="V18" s="4">
        <f t="shared" si="1"/>
        <v>-280</v>
      </c>
      <c r="W18" s="55" t="str">
        <f t="shared" si="2"/>
        <v>NOK</v>
      </c>
      <c r="X18" s="4"/>
      <c r="Z18" s="4" t="str">
        <f>Table2[[#This Row],[Nazwisko]]&amp;Table2[[#This Row],[Imię]]</f>
        <v>BergierNatalia</v>
      </c>
      <c r="AA18" s="2">
        <f>COUNTIF(Z18:$Z$275,Z18)</f>
        <v>1</v>
      </c>
    </row>
    <row r="19" spans="1:27" hidden="1">
      <c r="A19" s="4" t="s">
        <v>60</v>
      </c>
      <c r="B19" s="4" t="s">
        <v>61</v>
      </c>
      <c r="C19" s="2" t="s">
        <v>53</v>
      </c>
      <c r="D19" s="2" t="s">
        <v>27</v>
      </c>
      <c r="E19" s="2" t="s">
        <v>27</v>
      </c>
      <c r="G19" s="4">
        <v>50</v>
      </c>
      <c r="Q19" s="4">
        <v>200</v>
      </c>
      <c r="T19" s="4">
        <f t="shared" si="3"/>
        <v>250</v>
      </c>
      <c r="U19" s="36">
        <f>IF(Table2[[#This Row],[Nazwisko]]="","",IF(AND(D19="Nie",E19="Nie"),0,IF(AND(D19="Tak",E19="Nie"),Podsumowanie!$B$19,Podsumowanie!$C$19)))</f>
        <v>700</v>
      </c>
      <c r="V19" s="4">
        <f t="shared" si="1"/>
        <v>-450</v>
      </c>
      <c r="W19" s="55" t="str">
        <f t="shared" si="2"/>
        <v>NOK</v>
      </c>
      <c r="X19" s="4"/>
      <c r="Z19" s="4" t="str">
        <f>Table2[[#This Row],[Nazwisko]]&amp;Table2[[#This Row],[Imię]]</f>
        <v>JanuszMagda</v>
      </c>
      <c r="AA19" s="2">
        <f>COUNTIF(Z19:$Z$275,Z19)</f>
        <v>1</v>
      </c>
    </row>
    <row r="20" spans="1:27" hidden="1">
      <c r="A20" s="4" t="s">
        <v>62</v>
      </c>
      <c r="B20" s="4" t="s">
        <v>63</v>
      </c>
      <c r="C20" s="2" t="s">
        <v>53</v>
      </c>
      <c r="D20" s="2" t="s">
        <v>27</v>
      </c>
      <c r="E20" s="2" t="s">
        <v>27</v>
      </c>
      <c r="G20" s="4">
        <v>50</v>
      </c>
      <c r="Q20" s="4">
        <v>100</v>
      </c>
      <c r="T20" s="4">
        <f t="shared" si="3"/>
        <v>150</v>
      </c>
      <c r="U20" s="36">
        <f>IF(Table2[[#This Row],[Nazwisko]]="","",IF(AND(D20="Nie",E20="Nie"),0,IF(AND(D20="Tak",E20="Nie"),Podsumowanie!$B$19,Podsumowanie!$C$19)))</f>
        <v>700</v>
      </c>
      <c r="V20" s="4">
        <f t="shared" si="1"/>
        <v>-550</v>
      </c>
      <c r="W20" s="55" t="str">
        <f t="shared" si="2"/>
        <v>NOK</v>
      </c>
      <c r="X20" s="4"/>
      <c r="Z20" s="4" t="str">
        <f>Table2[[#This Row],[Nazwisko]]&amp;Table2[[#This Row],[Imię]]</f>
        <v>RaczyńskaMaja</v>
      </c>
      <c r="AA20" s="2">
        <f>COUNTIF(Z20:$Z$275,Z20)</f>
        <v>1</v>
      </c>
    </row>
    <row r="21" spans="1:27" hidden="1">
      <c r="A21" s="4" t="s">
        <v>64</v>
      </c>
      <c r="B21" s="4" t="s">
        <v>65</v>
      </c>
      <c r="C21" s="2" t="s">
        <v>53</v>
      </c>
      <c r="D21" s="2" t="s">
        <v>27</v>
      </c>
      <c r="E21" s="2" t="s">
        <v>33</v>
      </c>
      <c r="G21" s="4">
        <v>50</v>
      </c>
      <c r="T21" s="4">
        <f t="shared" si="3"/>
        <v>50</v>
      </c>
      <c r="U21" s="36">
        <f>IF(Table2[[#This Row],[Nazwisko]]="","",IF(AND(D21="Nie",E21="Nie"),0,IF(AND(D21="Tak",E21="Nie"),Podsumowanie!$B$19,Podsumowanie!$C$19)))</f>
        <v>430</v>
      </c>
      <c r="V21" s="4">
        <f t="shared" si="1"/>
        <v>-380</v>
      </c>
      <c r="W21" s="55" t="str">
        <f t="shared" si="2"/>
        <v>NOK</v>
      </c>
      <c r="X21" s="4"/>
      <c r="Z21" s="4" t="str">
        <f>Table2[[#This Row],[Nazwisko]]&amp;Table2[[#This Row],[Imię]]</f>
        <v>MordakNikola</v>
      </c>
      <c r="AA21" s="2">
        <f>COUNTIF(Z21:$Z$275,Z21)</f>
        <v>1</v>
      </c>
    </row>
    <row r="22" spans="1:27" hidden="1">
      <c r="A22" s="4" t="s">
        <v>66</v>
      </c>
      <c r="B22" s="4" t="s">
        <v>67</v>
      </c>
      <c r="C22" s="2" t="s">
        <v>53</v>
      </c>
      <c r="D22" s="2" t="s">
        <v>27</v>
      </c>
      <c r="E22" s="2" t="s">
        <v>27</v>
      </c>
      <c r="G22" s="4">
        <v>50</v>
      </c>
      <c r="Q22" s="4">
        <v>100</v>
      </c>
      <c r="T22" s="4">
        <f t="shared" si="3"/>
        <v>150</v>
      </c>
      <c r="U22" s="36">
        <f>IF(Table2[[#This Row],[Nazwisko]]="","",IF(AND(D22="Nie",E22="Nie"),0,IF(AND(D22="Tak",E22="Nie"),Podsumowanie!$B$19,Podsumowanie!$C$19)))</f>
        <v>700</v>
      </c>
      <c r="V22" s="4">
        <f t="shared" si="1"/>
        <v>-550</v>
      </c>
      <c r="W22" s="55" t="str">
        <f t="shared" si="2"/>
        <v>NOK</v>
      </c>
      <c r="X22" s="4"/>
      <c r="Z22" s="4" t="str">
        <f>Table2[[#This Row],[Nazwisko]]&amp;Table2[[#This Row],[Imię]]</f>
        <v>BarnaśIga</v>
      </c>
      <c r="AA22" s="2">
        <f>COUNTIF(Z22:$Z$275,Z22)</f>
        <v>1</v>
      </c>
    </row>
    <row r="23" spans="1:27" hidden="1">
      <c r="A23" s="4" t="s">
        <v>68</v>
      </c>
      <c r="B23" s="4" t="s">
        <v>25</v>
      </c>
      <c r="C23" s="2" t="s">
        <v>53</v>
      </c>
      <c r="D23" s="2" t="s">
        <v>27</v>
      </c>
      <c r="E23" s="2" t="s">
        <v>27</v>
      </c>
      <c r="G23" s="4">
        <v>50</v>
      </c>
      <c r="Q23" s="4">
        <v>100</v>
      </c>
      <c r="T23" s="4">
        <f t="shared" si="3"/>
        <v>150</v>
      </c>
      <c r="U23" s="36">
        <f>IF(Table2[[#This Row],[Nazwisko]]="","",IF(AND(D23="Nie",E23="Nie"),0,IF(AND(D23="Tak",E23="Nie"),Podsumowanie!$B$19,Podsumowanie!$C$19)))</f>
        <v>700</v>
      </c>
      <c r="V23" s="4">
        <f t="shared" si="1"/>
        <v>-550</v>
      </c>
      <c r="W23" s="55" t="str">
        <f t="shared" si="2"/>
        <v>NOK</v>
      </c>
      <c r="X23" s="4"/>
      <c r="Z23" s="4" t="str">
        <f>Table2[[#This Row],[Nazwisko]]&amp;Table2[[#This Row],[Imię]]</f>
        <v>PalkaDaria</v>
      </c>
      <c r="AA23" s="2">
        <f>COUNTIF(Z23:$Z$275,Z23)</f>
        <v>1</v>
      </c>
    </row>
    <row r="24" spans="1:27" hidden="1">
      <c r="A24" s="4" t="s">
        <v>69</v>
      </c>
      <c r="B24" s="4" t="s">
        <v>70</v>
      </c>
      <c r="C24" s="2" t="s">
        <v>32</v>
      </c>
      <c r="D24" s="2" t="s">
        <v>27</v>
      </c>
      <c r="E24" s="2" t="s">
        <v>27</v>
      </c>
      <c r="G24" s="4">
        <v>50</v>
      </c>
      <c r="Q24" s="4">
        <v>200</v>
      </c>
      <c r="T24" s="4">
        <f t="shared" si="3"/>
        <v>250</v>
      </c>
      <c r="U24" s="36">
        <f>IF(Table2[[#This Row],[Nazwisko]]="","",IF(AND(D24="Nie",E24="Nie"),0,IF(AND(D24="Tak",E24="Nie"),Podsumowanie!$B$19,Podsumowanie!$C$19)))</f>
        <v>700</v>
      </c>
      <c r="V24" s="4">
        <f t="shared" si="1"/>
        <v>-450</v>
      </c>
      <c r="W24" s="55" t="str">
        <f t="shared" si="2"/>
        <v>NOK</v>
      </c>
      <c r="X24" s="4"/>
      <c r="Z24" s="4" t="str">
        <f>Table2[[#This Row],[Nazwisko]]&amp;Table2[[#This Row],[Imię]]</f>
        <v>ProszowskaKatarzyna</v>
      </c>
      <c r="AA24" s="2">
        <f>COUNTIF(Z24:$Z$275,Z24)</f>
        <v>1</v>
      </c>
    </row>
    <row r="25" spans="1:27" hidden="1">
      <c r="A25" s="4" t="s">
        <v>71</v>
      </c>
      <c r="B25" s="4" t="s">
        <v>63</v>
      </c>
      <c r="C25" s="2" t="s">
        <v>53</v>
      </c>
      <c r="D25" s="2" t="s">
        <v>27</v>
      </c>
      <c r="E25" s="2" t="s">
        <v>27</v>
      </c>
      <c r="G25" s="4">
        <v>50</v>
      </c>
      <c r="Q25" s="4">
        <v>400</v>
      </c>
      <c r="T25" s="4">
        <f t="shared" si="3"/>
        <v>450</v>
      </c>
      <c r="U25" s="36">
        <f>IF(Table2[[#This Row],[Nazwisko]]="","",IF(AND(D25="Nie",E25="Nie"),0,IF(AND(D25="Tak",E25="Nie"),Podsumowanie!$B$19,Podsumowanie!$C$19)))</f>
        <v>700</v>
      </c>
      <c r="V25" s="4">
        <f t="shared" si="1"/>
        <v>-250</v>
      </c>
      <c r="W25" s="55" t="str">
        <f t="shared" si="2"/>
        <v>NOK</v>
      </c>
      <c r="X25" s="4"/>
      <c r="Z25" s="4" t="str">
        <f>Table2[[#This Row],[Nazwisko]]&amp;Table2[[#This Row],[Imię]]</f>
        <v>PietruszyńskaMaja</v>
      </c>
      <c r="AA25" s="2">
        <f>COUNTIF(Z25:$Z$275,Z25)</f>
        <v>1</v>
      </c>
    </row>
    <row r="26" spans="1:27" hidden="1">
      <c r="A26" s="4" t="s">
        <v>72</v>
      </c>
      <c r="B26" s="4" t="s">
        <v>73</v>
      </c>
      <c r="C26" s="2" t="s">
        <v>32</v>
      </c>
      <c r="D26" s="2" t="s">
        <v>27</v>
      </c>
      <c r="E26" s="2" t="s">
        <v>33</v>
      </c>
      <c r="G26" s="4">
        <v>50</v>
      </c>
      <c r="Q26" s="4">
        <v>200</v>
      </c>
      <c r="T26" s="4">
        <f t="shared" si="3"/>
        <v>250</v>
      </c>
      <c r="U26" s="36">
        <f>IF(Table2[[#This Row],[Nazwisko]]="","",IF(AND(D26="Nie",E26="Nie"),0,IF(AND(D26="Tak",E26="Nie"),Podsumowanie!$B$19,Podsumowanie!$C$19)))</f>
        <v>430</v>
      </c>
      <c r="V26" s="4">
        <f t="shared" si="1"/>
        <v>-180</v>
      </c>
      <c r="W26" s="55" t="str">
        <f t="shared" si="2"/>
        <v>NOK</v>
      </c>
      <c r="X26" s="4"/>
      <c r="Z26" s="4" t="str">
        <f>Table2[[#This Row],[Nazwisko]]&amp;Table2[[#This Row],[Imię]]</f>
        <v>WinklerJulia</v>
      </c>
      <c r="AA26" s="2">
        <f>COUNTIF(Z26:$Z$275,Z26)</f>
        <v>1</v>
      </c>
    </row>
    <row r="27" spans="1:27" hidden="1">
      <c r="A27" s="4" t="s">
        <v>74</v>
      </c>
      <c r="B27" s="4" t="s">
        <v>63</v>
      </c>
      <c r="C27" s="2" t="s">
        <v>32</v>
      </c>
      <c r="D27" s="2" t="s">
        <v>27</v>
      </c>
      <c r="E27" s="2" t="s">
        <v>27</v>
      </c>
      <c r="G27" s="4">
        <v>50</v>
      </c>
      <c r="Q27" s="4">
        <v>650</v>
      </c>
      <c r="T27" s="4">
        <f t="shared" si="3"/>
        <v>700</v>
      </c>
      <c r="U27" s="36">
        <f>IF(Table2[[#This Row],[Nazwisko]]="","",IF(AND(D27="Nie",E27="Nie"),0,IF(AND(D27="Tak",E27="Nie"),Podsumowanie!$B$19,Podsumowanie!$C$19)))</f>
        <v>700</v>
      </c>
      <c r="V27" s="4">
        <f t="shared" si="1"/>
        <v>0</v>
      </c>
      <c r="W27" s="55" t="str">
        <f t="shared" si="2"/>
        <v/>
      </c>
      <c r="X27" s="4"/>
      <c r="Z27" s="4" t="str">
        <f>Table2[[#This Row],[Nazwisko]]&amp;Table2[[#This Row],[Imię]]</f>
        <v>GuszkiewiczMaja</v>
      </c>
      <c r="AA27" s="2">
        <f>COUNTIF(Z27:$Z$275,Z27)</f>
        <v>1</v>
      </c>
    </row>
    <row r="28" spans="1:27" hidden="1">
      <c r="A28" s="4" t="s">
        <v>75</v>
      </c>
      <c r="B28" s="4" t="s">
        <v>76</v>
      </c>
      <c r="C28" s="2" t="s">
        <v>32</v>
      </c>
      <c r="D28" s="2" t="s">
        <v>27</v>
      </c>
      <c r="E28" s="2" t="s">
        <v>33</v>
      </c>
      <c r="G28" s="4">
        <v>50</v>
      </c>
      <c r="Q28" s="4">
        <v>200</v>
      </c>
      <c r="T28" s="4">
        <f t="shared" si="3"/>
        <v>250</v>
      </c>
      <c r="U28" s="36">
        <f>IF(Table2[[#This Row],[Nazwisko]]="","",IF(AND(D28="Nie",E28="Nie"),0,IF(AND(D28="Tak",E28="Nie"),Podsumowanie!$B$19,Podsumowanie!$C$19)))</f>
        <v>430</v>
      </c>
      <c r="V28" s="4">
        <f t="shared" si="1"/>
        <v>-180</v>
      </c>
      <c r="W28" s="55" t="str">
        <f t="shared" si="2"/>
        <v>NOK</v>
      </c>
      <c r="X28" s="4"/>
      <c r="Z28" s="4" t="str">
        <f>Table2[[#This Row],[Nazwisko]]&amp;Table2[[#This Row],[Imię]]</f>
        <v>BulińskiMaciej</v>
      </c>
      <c r="AA28" s="2">
        <f>COUNTIF(Z28:$Z$275,Z28)</f>
        <v>1</v>
      </c>
    </row>
    <row r="29" spans="1:27" hidden="1">
      <c r="A29" s="4" t="s">
        <v>77</v>
      </c>
      <c r="B29" s="4" t="s">
        <v>78</v>
      </c>
      <c r="C29" s="2" t="s">
        <v>32</v>
      </c>
      <c r="D29" s="2" t="s">
        <v>27</v>
      </c>
      <c r="E29" s="2" t="s">
        <v>33</v>
      </c>
      <c r="G29" s="4">
        <v>50</v>
      </c>
      <c r="Q29" s="4">
        <v>200</v>
      </c>
      <c r="T29" s="4">
        <f t="shared" si="3"/>
        <v>250</v>
      </c>
      <c r="U29" s="36">
        <f>IF(Table2[[#This Row],[Nazwisko]]="","",IF(AND(D29="Nie",E29="Nie"),0,IF(AND(D29="Tak",E29="Nie"),Podsumowanie!$B$19,Podsumowanie!$C$19)))</f>
        <v>430</v>
      </c>
      <c r="V29" s="4">
        <f t="shared" si="1"/>
        <v>-180</v>
      </c>
      <c r="W29" s="55" t="str">
        <f t="shared" si="2"/>
        <v>NOK</v>
      </c>
      <c r="X29" s="4"/>
      <c r="Z29" s="4" t="str">
        <f>Table2[[#This Row],[Nazwisko]]&amp;Table2[[#This Row],[Imię]]</f>
        <v>PietrasZuzanna</v>
      </c>
      <c r="AA29" s="2">
        <f>COUNTIF(Z29:$Z$275,Z29)</f>
        <v>1</v>
      </c>
    </row>
    <row r="30" spans="1:27" hidden="1">
      <c r="A30" s="4" t="s">
        <v>79</v>
      </c>
      <c r="B30" s="4" t="s">
        <v>80</v>
      </c>
      <c r="C30" s="2" t="s">
        <v>32</v>
      </c>
      <c r="D30" s="2" t="s">
        <v>27</v>
      </c>
      <c r="E30" s="2" t="s">
        <v>27</v>
      </c>
      <c r="G30" s="4">
        <v>50</v>
      </c>
      <c r="Q30" s="4">
        <v>200</v>
      </c>
      <c r="T30" s="4">
        <f t="shared" si="3"/>
        <v>250</v>
      </c>
      <c r="U30" s="36">
        <f>IF(Table2[[#This Row],[Nazwisko]]="","",IF(AND(D30="Nie",E30="Nie"),0,IF(AND(D30="Tak",E30="Nie"),Podsumowanie!$B$19,Podsumowanie!$C$19)))</f>
        <v>700</v>
      </c>
      <c r="V30" s="4">
        <f t="shared" si="1"/>
        <v>-450</v>
      </c>
      <c r="W30" s="55" t="str">
        <f t="shared" si="2"/>
        <v>NOK</v>
      </c>
      <c r="X30" s="4"/>
      <c r="Z30" s="4" t="str">
        <f>Table2[[#This Row],[Nazwisko]]&amp;Table2[[#This Row],[Imię]]</f>
        <v>SitekSzymon</v>
      </c>
      <c r="AA30" s="2">
        <f>COUNTIF(Z30:$Z$275,Z30)</f>
        <v>1</v>
      </c>
    </row>
    <row r="31" spans="1:27" hidden="1">
      <c r="A31" s="4" t="s">
        <v>81</v>
      </c>
      <c r="B31" s="4" t="s">
        <v>65</v>
      </c>
      <c r="C31" s="2" t="s">
        <v>53</v>
      </c>
      <c r="D31" s="2" t="s">
        <v>27</v>
      </c>
      <c r="E31" s="2" t="s">
        <v>33</v>
      </c>
      <c r="G31" s="4">
        <v>50</v>
      </c>
      <c r="Q31" s="4">
        <v>100</v>
      </c>
      <c r="T31" s="4">
        <f t="shared" si="3"/>
        <v>150</v>
      </c>
      <c r="U31" s="36">
        <f>IF(Table2[[#This Row],[Nazwisko]]="","",IF(AND(D31="Nie",E31="Nie"),0,IF(AND(D31="Tak",E31="Nie"),Podsumowanie!$B$19,Podsumowanie!$C$19)))</f>
        <v>430</v>
      </c>
      <c r="V31" s="4">
        <f t="shared" si="1"/>
        <v>-280</v>
      </c>
      <c r="W31" s="55" t="str">
        <f t="shared" si="2"/>
        <v>NOK</v>
      </c>
      <c r="X31" s="4"/>
      <c r="Z31" s="4" t="str">
        <f>Table2[[#This Row],[Nazwisko]]&amp;Table2[[#This Row],[Imię]]</f>
        <v>WałachowskaNikola</v>
      </c>
      <c r="AA31" s="2">
        <f>COUNTIF(Z31:$Z$275,Z31)</f>
        <v>1</v>
      </c>
    </row>
    <row r="32" spans="1:27" hidden="1">
      <c r="A32" s="4" t="s">
        <v>82</v>
      </c>
      <c r="B32" s="4" t="s">
        <v>83</v>
      </c>
      <c r="C32" s="2" t="s">
        <v>53</v>
      </c>
      <c r="D32" s="2" t="s">
        <v>27</v>
      </c>
      <c r="E32" s="2" t="s">
        <v>27</v>
      </c>
      <c r="G32" s="4">
        <v>50</v>
      </c>
      <c r="Q32" s="4">
        <v>200</v>
      </c>
      <c r="T32" s="4">
        <f t="shared" si="3"/>
        <v>250</v>
      </c>
      <c r="U32" s="36">
        <f>IF(Table2[[#This Row],[Nazwisko]]="","",IF(AND(D32="Nie",E32="Nie"),0,IF(AND(D32="Tak",E32="Nie"),Podsumowanie!$B$19,Podsumowanie!$C$19)))</f>
        <v>700</v>
      </c>
      <c r="V32" s="4">
        <f t="shared" si="1"/>
        <v>-450</v>
      </c>
      <c r="W32" s="55" t="str">
        <f t="shared" si="2"/>
        <v>NOK</v>
      </c>
      <c r="X32" s="4"/>
      <c r="Z32" s="4" t="str">
        <f>Table2[[#This Row],[Nazwisko]]&amp;Table2[[#This Row],[Imię]]</f>
        <v>CzubajPaulina</v>
      </c>
      <c r="AA32" s="2">
        <f>COUNTIF(Z32:$Z$275,Z32)</f>
        <v>1</v>
      </c>
    </row>
    <row r="33" spans="1:27" hidden="1">
      <c r="A33" s="4" t="s">
        <v>84</v>
      </c>
      <c r="B33" s="4" t="s">
        <v>85</v>
      </c>
      <c r="C33" s="2" t="s">
        <v>53</v>
      </c>
      <c r="D33" s="2" t="s">
        <v>27</v>
      </c>
      <c r="E33" s="2" t="s">
        <v>27</v>
      </c>
      <c r="G33" s="4">
        <v>50</v>
      </c>
      <c r="Q33" s="4">
        <v>200</v>
      </c>
      <c r="T33" s="4">
        <f t="shared" si="3"/>
        <v>250</v>
      </c>
      <c r="U33" s="36">
        <f>IF(Table2[[#This Row],[Nazwisko]]="","",IF(AND(D33="Nie",E33="Nie"),0,IF(AND(D33="Tak",E33="Nie"),Podsumowanie!$B$19,Podsumowanie!$C$19)))</f>
        <v>700</v>
      </c>
      <c r="V33" s="4">
        <f t="shared" si="1"/>
        <v>-450</v>
      </c>
      <c r="W33" s="55" t="str">
        <f t="shared" si="2"/>
        <v>NOK</v>
      </c>
      <c r="X33" s="4"/>
      <c r="Z33" s="4" t="str">
        <f>Table2[[#This Row],[Nazwisko]]&amp;Table2[[#This Row],[Imię]]</f>
        <v>BłachowiczPola</v>
      </c>
      <c r="AA33" s="2">
        <f>COUNTIF(Z33:$Z$275,Z33)</f>
        <v>1</v>
      </c>
    </row>
    <row r="34" spans="1:27">
      <c r="A34" s="4" t="s">
        <v>86</v>
      </c>
      <c r="B34" s="4" t="s">
        <v>73</v>
      </c>
      <c r="C34" s="2" t="s">
        <v>87</v>
      </c>
      <c r="D34" s="2" t="s">
        <v>27</v>
      </c>
      <c r="E34" s="2" t="s">
        <v>27</v>
      </c>
      <c r="G34" s="4">
        <v>50</v>
      </c>
      <c r="P34" s="4">
        <v>100</v>
      </c>
      <c r="Q34" s="4">
        <v>200</v>
      </c>
      <c r="T34" s="4">
        <f t="shared" si="3"/>
        <v>350</v>
      </c>
      <c r="U34" s="36">
        <f>IF(Table2[[#This Row],[Nazwisko]]="","",IF(AND(D34="Nie",E34="Nie"),0,IF(AND(D34="Tak",E34="Nie"),Podsumowanie!$B$19,Podsumowanie!$C$19)))</f>
        <v>700</v>
      </c>
      <c r="V34" s="4">
        <f t="shared" si="1"/>
        <v>-350</v>
      </c>
      <c r="W34" s="55" t="str">
        <f t="shared" si="2"/>
        <v>NOK</v>
      </c>
      <c r="X34" s="4"/>
      <c r="Z34" s="4" t="str">
        <f>Table2[[#This Row],[Nazwisko]]&amp;Table2[[#This Row],[Imię]]</f>
        <v>KowalczykJulia</v>
      </c>
      <c r="AA34" s="2">
        <f>COUNTIF(Z34:$Z$275,Z34)</f>
        <v>2</v>
      </c>
    </row>
    <row r="35" spans="1:27">
      <c r="A35" s="4" t="s">
        <v>88</v>
      </c>
      <c r="B35" s="4" t="s">
        <v>89</v>
      </c>
      <c r="C35" s="2" t="s">
        <v>87</v>
      </c>
      <c r="D35" s="2" t="s">
        <v>27</v>
      </c>
      <c r="E35" s="2" t="s">
        <v>27</v>
      </c>
      <c r="G35" s="4">
        <v>50</v>
      </c>
      <c r="P35" s="4">
        <v>100</v>
      </c>
      <c r="Q35" s="4">
        <v>200</v>
      </c>
      <c r="T35" s="4">
        <f t="shared" si="3"/>
        <v>350</v>
      </c>
      <c r="U35" s="36">
        <f>IF(Table2[[#This Row],[Nazwisko]]="","",IF(AND(D35="Nie",E35="Nie"),0,IF(AND(D35="Tak",E35="Nie"),Podsumowanie!$B$19,Podsumowanie!$C$19)))</f>
        <v>700</v>
      </c>
      <c r="V35" s="4">
        <f t="shared" si="1"/>
        <v>-350</v>
      </c>
      <c r="W35" s="55" t="str">
        <f t="shared" si="2"/>
        <v>NOK</v>
      </c>
      <c r="X35" s="4"/>
      <c r="Z35" s="4" t="str">
        <f>Table2[[#This Row],[Nazwisko]]&amp;Table2[[#This Row],[Imię]]</f>
        <v>ZatońOlga</v>
      </c>
      <c r="AA35" s="2">
        <f>COUNTIF(Z35:$Z$275,Z35)</f>
        <v>1</v>
      </c>
    </row>
    <row r="36" spans="1:27">
      <c r="A36" s="4" t="s">
        <v>90</v>
      </c>
      <c r="B36" s="4" t="s">
        <v>89</v>
      </c>
      <c r="C36" s="2" t="s">
        <v>87</v>
      </c>
      <c r="D36" s="2" t="s">
        <v>27</v>
      </c>
      <c r="E36" s="2" t="s">
        <v>27</v>
      </c>
      <c r="G36" s="4">
        <v>50</v>
      </c>
      <c r="P36" s="4">
        <v>100</v>
      </c>
      <c r="Q36" s="4">
        <v>200</v>
      </c>
      <c r="T36" s="4">
        <f t="shared" si="3"/>
        <v>350</v>
      </c>
      <c r="U36" s="36">
        <f>IF(Table2[[#This Row],[Nazwisko]]="","",IF(AND(D36="Nie",E36="Nie"),0,IF(AND(D36="Tak",E36="Nie"),Podsumowanie!$B$19,Podsumowanie!$C$19)))</f>
        <v>700</v>
      </c>
      <c r="V36" s="4">
        <f t="shared" si="1"/>
        <v>-350</v>
      </c>
      <c r="W36" s="55" t="str">
        <f t="shared" si="2"/>
        <v>NOK</v>
      </c>
      <c r="X36" s="4"/>
      <c r="Z36" s="4" t="str">
        <f>Table2[[#This Row],[Nazwisko]]&amp;Table2[[#This Row],[Imię]]</f>
        <v>OleszczakOlga</v>
      </c>
      <c r="AA36" s="2">
        <f>COUNTIF(Z36:$Z$275,Z36)</f>
        <v>1</v>
      </c>
    </row>
    <row r="37" spans="1:27">
      <c r="A37" s="4" t="s">
        <v>91</v>
      </c>
      <c r="B37" s="4" t="s">
        <v>92</v>
      </c>
      <c r="C37" s="2" t="s">
        <v>87</v>
      </c>
      <c r="D37" s="2" t="s">
        <v>27</v>
      </c>
      <c r="E37" s="2" t="s">
        <v>33</v>
      </c>
      <c r="G37" s="4">
        <v>50</v>
      </c>
      <c r="P37" s="4">
        <v>100</v>
      </c>
      <c r="Q37" s="4">
        <v>100</v>
      </c>
      <c r="T37" s="4">
        <f t="shared" si="3"/>
        <v>250</v>
      </c>
      <c r="U37" s="36">
        <f>IF(Table2[[#This Row],[Nazwisko]]="","",IF(AND(D37="Nie",E37="Nie"),0,IF(AND(D37="Tak",E37="Nie"),Podsumowanie!$B$19,Podsumowanie!$C$19)))</f>
        <v>430</v>
      </c>
      <c r="V37" s="4">
        <f t="shared" si="1"/>
        <v>-180</v>
      </c>
      <c r="W37" s="55" t="str">
        <f t="shared" si="2"/>
        <v>NOK</v>
      </c>
      <c r="X37" s="4"/>
      <c r="Z37" s="4" t="str">
        <f>Table2[[#This Row],[Nazwisko]]&amp;Table2[[#This Row],[Imię]]</f>
        <v>WłodarczykKarolina</v>
      </c>
      <c r="AA37" s="2">
        <f>COUNTIF(Z37:$Z$275,Z37)</f>
        <v>1</v>
      </c>
    </row>
    <row r="38" spans="1:27">
      <c r="A38" s="4" t="s">
        <v>93</v>
      </c>
      <c r="B38" s="4" t="s">
        <v>67</v>
      </c>
      <c r="C38" s="2" t="s">
        <v>87</v>
      </c>
      <c r="D38" s="2" t="s">
        <v>27</v>
      </c>
      <c r="E38" s="2" t="s">
        <v>27</v>
      </c>
      <c r="G38" s="4">
        <v>50</v>
      </c>
      <c r="P38" s="4">
        <v>100</v>
      </c>
      <c r="Q38" s="4">
        <v>100</v>
      </c>
      <c r="T38" s="4">
        <f t="shared" si="3"/>
        <v>250</v>
      </c>
      <c r="U38" s="36">
        <f>IF(Table2[[#This Row],[Nazwisko]]="","",IF(AND(D38="Nie",E38="Nie"),0,IF(AND(D38="Tak",E38="Nie"),Podsumowanie!$B$19,Podsumowanie!$C$19)))</f>
        <v>700</v>
      </c>
      <c r="V38" s="4">
        <f t="shared" si="1"/>
        <v>-450</v>
      </c>
      <c r="W38" s="55" t="str">
        <f t="shared" si="2"/>
        <v>NOK</v>
      </c>
      <c r="X38" s="4"/>
      <c r="Z38" s="4" t="str">
        <f>Table2[[#This Row],[Nazwisko]]&amp;Table2[[#This Row],[Imię]]</f>
        <v>StaniszewskaIga</v>
      </c>
      <c r="AA38" s="2">
        <f>COUNTIF(Z38:$Z$275,Z38)</f>
        <v>1</v>
      </c>
    </row>
    <row r="39" spans="1:27">
      <c r="A39" s="4" t="s">
        <v>94</v>
      </c>
      <c r="B39" s="4" t="s">
        <v>95</v>
      </c>
      <c r="C39" s="2" t="s">
        <v>87</v>
      </c>
      <c r="D39" s="2" t="s">
        <v>27</v>
      </c>
      <c r="E39" s="2" t="s">
        <v>27</v>
      </c>
      <c r="G39" s="4">
        <v>50</v>
      </c>
      <c r="P39" s="4">
        <v>100</v>
      </c>
      <c r="Q39" s="4">
        <v>200</v>
      </c>
      <c r="T39" s="4">
        <f t="shared" si="3"/>
        <v>350</v>
      </c>
      <c r="U39" s="36">
        <f>IF(Table2[[#This Row],[Nazwisko]]="","",IF(AND(D39="Nie",E39="Nie"),0,IF(AND(D39="Tak",E39="Nie"),Podsumowanie!$B$19,Podsumowanie!$C$19)))</f>
        <v>700</v>
      </c>
      <c r="V39" s="4">
        <f t="shared" si="1"/>
        <v>-350</v>
      </c>
      <c r="W39" s="55" t="str">
        <f t="shared" si="2"/>
        <v>NOK</v>
      </c>
      <c r="X39" s="4"/>
      <c r="Z39" s="4" t="str">
        <f>Table2[[#This Row],[Nazwisko]]&amp;Table2[[#This Row],[Imię]]</f>
        <v>WyczółkowskaMilena</v>
      </c>
      <c r="AA39" s="2">
        <f>COUNTIF(Z39:$Z$275,Z39)</f>
        <v>1</v>
      </c>
    </row>
    <row r="40" spans="1:27">
      <c r="A40" s="4" t="s">
        <v>96</v>
      </c>
      <c r="B40" s="4" t="s">
        <v>73</v>
      </c>
      <c r="C40" s="2" t="s">
        <v>87</v>
      </c>
      <c r="D40" s="2" t="s">
        <v>27</v>
      </c>
      <c r="E40" s="2" t="s">
        <v>27</v>
      </c>
      <c r="G40" s="4">
        <v>50</v>
      </c>
      <c r="P40" s="4">
        <v>100</v>
      </c>
      <c r="Q40" s="4">
        <v>200</v>
      </c>
      <c r="T40" s="4">
        <f t="shared" si="3"/>
        <v>350</v>
      </c>
      <c r="U40" s="36">
        <f>IF(Table2[[#This Row],[Nazwisko]]="","",IF(AND(D40="Nie",E40="Nie"),0,IF(AND(D40="Tak",E40="Nie"),Podsumowanie!$B$19,Podsumowanie!$C$19)))</f>
        <v>700</v>
      </c>
      <c r="V40" s="4">
        <f t="shared" si="1"/>
        <v>-350</v>
      </c>
      <c r="W40" s="55" t="str">
        <f t="shared" si="2"/>
        <v>NOK</v>
      </c>
      <c r="X40" s="4"/>
      <c r="Z40" s="4" t="str">
        <f>Table2[[#This Row],[Nazwisko]]&amp;Table2[[#This Row],[Imię]]</f>
        <v>KaźmierskaJulia</v>
      </c>
      <c r="AA40" s="2">
        <f>COUNTIF(Z40:$Z$275,Z40)</f>
        <v>1</v>
      </c>
    </row>
    <row r="41" spans="1:27">
      <c r="A41" s="4" t="s">
        <v>97</v>
      </c>
      <c r="B41" s="4" t="s">
        <v>98</v>
      </c>
      <c r="C41" s="2" t="s">
        <v>87</v>
      </c>
      <c r="D41" s="2" t="s">
        <v>27</v>
      </c>
      <c r="E41" s="2" t="s">
        <v>27</v>
      </c>
      <c r="G41" s="4">
        <v>50</v>
      </c>
      <c r="P41" s="4">
        <v>100</v>
      </c>
      <c r="Q41" s="4">
        <v>200</v>
      </c>
      <c r="T41" s="4">
        <f t="shared" si="3"/>
        <v>350</v>
      </c>
      <c r="U41" s="36">
        <f>IF(Table2[[#This Row],[Nazwisko]]="","",IF(AND(D41="Nie",E41="Nie"),0,IF(AND(D41="Tak",E41="Nie"),Podsumowanie!$B$19,Podsumowanie!$C$19)))</f>
        <v>700</v>
      </c>
      <c r="V41" s="4">
        <f t="shared" si="1"/>
        <v>-350</v>
      </c>
      <c r="W41" s="55" t="str">
        <f t="shared" si="2"/>
        <v>NOK</v>
      </c>
      <c r="X41" s="4"/>
      <c r="Z41" s="4" t="str">
        <f>Table2[[#This Row],[Nazwisko]]&amp;Table2[[#This Row],[Imię]]</f>
        <v>MarekBarbara</v>
      </c>
      <c r="AA41" s="2">
        <f>COUNTIF(Z41:$Z$275,Z41)</f>
        <v>1</v>
      </c>
    </row>
    <row r="42" spans="1:27">
      <c r="A42" s="4" t="s">
        <v>99</v>
      </c>
      <c r="B42" s="4" t="s">
        <v>100</v>
      </c>
      <c r="C42" s="2" t="s">
        <v>87</v>
      </c>
      <c r="D42" s="2" t="s">
        <v>27</v>
      </c>
      <c r="E42" s="2" t="s">
        <v>27</v>
      </c>
      <c r="G42" s="4">
        <v>50</v>
      </c>
      <c r="P42" s="4">
        <v>100</v>
      </c>
      <c r="Q42" s="4">
        <v>200</v>
      </c>
      <c r="T42" s="4">
        <f t="shared" si="3"/>
        <v>350</v>
      </c>
      <c r="U42" s="36">
        <f>IF(Table2[[#This Row],[Nazwisko]]="","",IF(AND(D42="Nie",E42="Nie"),0,IF(AND(D42="Tak",E42="Nie"),Podsumowanie!$B$19,Podsumowanie!$C$19)))</f>
        <v>700</v>
      </c>
      <c r="V42" s="4">
        <f t="shared" si="1"/>
        <v>-350</v>
      </c>
      <c r="W42" s="55" t="str">
        <f t="shared" si="2"/>
        <v>NOK</v>
      </c>
      <c r="X42" s="4"/>
      <c r="Z42" s="4" t="str">
        <f>Table2[[#This Row],[Nazwisko]]&amp;Table2[[#This Row],[Imię]]</f>
        <v>KoziołKaja</v>
      </c>
      <c r="AA42" s="2">
        <f>COUNTIF(Z42:$Z$275,Z42)</f>
        <v>1</v>
      </c>
    </row>
    <row r="43" spans="1:27">
      <c r="A43" s="4" t="s">
        <v>101</v>
      </c>
      <c r="B43" s="4" t="s">
        <v>59</v>
      </c>
      <c r="C43" s="2" t="s">
        <v>87</v>
      </c>
      <c r="D43" s="2" t="s">
        <v>27</v>
      </c>
      <c r="E43" s="2" t="s">
        <v>27</v>
      </c>
      <c r="G43" s="4">
        <v>50</v>
      </c>
      <c r="P43" s="4">
        <v>100</v>
      </c>
      <c r="Q43" s="4">
        <v>200</v>
      </c>
      <c r="T43" s="4">
        <f t="shared" si="3"/>
        <v>350</v>
      </c>
      <c r="U43" s="36">
        <f>IF(Table2[[#This Row],[Nazwisko]]="","",IF(AND(D43="Nie",E43="Nie"),0,IF(AND(D43="Tak",E43="Nie"),Podsumowanie!$B$19,Podsumowanie!$C$19)))</f>
        <v>700</v>
      </c>
      <c r="V43" s="4">
        <f t="shared" si="1"/>
        <v>-350</v>
      </c>
      <c r="W43" s="55" t="str">
        <f t="shared" si="2"/>
        <v>NOK</v>
      </c>
      <c r="X43" s="4"/>
      <c r="Z43" s="4" t="str">
        <f>Table2[[#This Row],[Nazwisko]]&amp;Table2[[#This Row],[Imię]]</f>
        <v>CiemniewskaNatalia</v>
      </c>
      <c r="AA43" s="2">
        <f>COUNTIF(Z43:$Z$275,Z43)</f>
        <v>1</v>
      </c>
    </row>
    <row r="44" spans="1:27">
      <c r="A44" s="4" t="s">
        <v>102</v>
      </c>
      <c r="B44" s="4" t="s">
        <v>46</v>
      </c>
      <c r="C44" s="2" t="s">
        <v>87</v>
      </c>
      <c r="D44" s="2" t="s">
        <v>27</v>
      </c>
      <c r="E44" s="2" t="s">
        <v>33</v>
      </c>
      <c r="G44" s="4">
        <v>50</v>
      </c>
      <c r="P44" s="4">
        <v>100</v>
      </c>
      <c r="Q44" s="4">
        <v>100</v>
      </c>
      <c r="T44" s="4">
        <f t="shared" si="3"/>
        <v>250</v>
      </c>
      <c r="U44" s="36">
        <f>IF(Table2[[#This Row],[Nazwisko]]="","",IF(AND(D44="Nie",E44="Nie"),0,IF(AND(D44="Tak",E44="Nie"),Podsumowanie!$B$19,Podsumowanie!$C$19)))</f>
        <v>430</v>
      </c>
      <c r="V44" s="4">
        <f t="shared" si="1"/>
        <v>-180</v>
      </c>
      <c r="W44" s="55" t="str">
        <f t="shared" si="2"/>
        <v>NOK</v>
      </c>
      <c r="X44" s="4"/>
      <c r="Z44" s="4" t="str">
        <f>Table2[[#This Row],[Nazwisko]]&amp;Table2[[#This Row],[Imię]]</f>
        <v>PiotrowskaWeronika</v>
      </c>
      <c r="AA44" s="2">
        <f>COUNTIF(Z44:$Z$275,Z44)</f>
        <v>1</v>
      </c>
    </row>
    <row r="45" spans="1:27" hidden="1">
      <c r="A45" s="4" t="s">
        <v>103</v>
      </c>
      <c r="B45" s="4" t="s">
        <v>73</v>
      </c>
      <c r="C45" s="2" t="s">
        <v>53</v>
      </c>
      <c r="D45" s="2" t="s">
        <v>33</v>
      </c>
      <c r="E45" s="2" t="s">
        <v>33</v>
      </c>
      <c r="F45" s="2" t="s">
        <v>104</v>
      </c>
      <c r="G45" s="4">
        <v>50</v>
      </c>
      <c r="T45" s="4">
        <f t="shared" si="3"/>
        <v>50</v>
      </c>
      <c r="U45" s="36">
        <f>IF(Table2[[#This Row],[Nazwisko]]="","",IF(AND(D45="Nie",E45="Nie"),0,IF(AND(D45="Tak",E45="Nie"),Podsumowanie!$B$19,Podsumowanie!$C$19)))</f>
        <v>0</v>
      </c>
      <c r="V45" s="4">
        <f t="shared" si="1"/>
        <v>50</v>
      </c>
      <c r="W45" s="55" t="str">
        <f t="shared" si="2"/>
        <v>OK</v>
      </c>
      <c r="X45" s="4"/>
      <c r="Z45" s="4" t="str">
        <f>Table2[[#This Row],[Nazwisko]]&amp;Table2[[#This Row],[Imię]]</f>
        <v>CielasińskaJulia</v>
      </c>
      <c r="AA45" s="2">
        <f>COUNTIF(Z45:$Z$275,Z45)</f>
        <v>1</v>
      </c>
    </row>
    <row r="46" spans="1:27">
      <c r="A46" s="4" t="s">
        <v>102</v>
      </c>
      <c r="B46" s="4" t="s">
        <v>105</v>
      </c>
      <c r="C46" s="2" t="s">
        <v>87</v>
      </c>
      <c r="D46" s="2" t="s">
        <v>27</v>
      </c>
      <c r="E46" s="2" t="s">
        <v>27</v>
      </c>
      <c r="G46" s="4">
        <v>50</v>
      </c>
      <c r="P46" s="4">
        <v>100</v>
      </c>
      <c r="Q46" s="4">
        <v>200</v>
      </c>
      <c r="T46" s="4">
        <f t="shared" si="3"/>
        <v>350</v>
      </c>
      <c r="U46" s="36">
        <f>IF(Table2[[#This Row],[Nazwisko]]="","",IF(AND(D46="Nie",E46="Nie"),0,IF(AND(D46="Tak",E46="Nie"),Podsumowanie!$B$19,Podsumowanie!$C$19)))</f>
        <v>700</v>
      </c>
      <c r="V46" s="4">
        <f t="shared" si="1"/>
        <v>-350</v>
      </c>
      <c r="W46" s="55" t="str">
        <f t="shared" si="2"/>
        <v>NOK</v>
      </c>
      <c r="X46" s="4"/>
      <c r="Z46" s="4" t="str">
        <f>Table2[[#This Row],[Nazwisko]]&amp;Table2[[#This Row],[Imię]]</f>
        <v>PiotrowskaBlanka</v>
      </c>
      <c r="AA46" s="2">
        <f>COUNTIF(Z46:$Z$275,Z46)</f>
        <v>1</v>
      </c>
    </row>
    <row r="47" spans="1:27" hidden="1">
      <c r="A47" s="4" t="s">
        <v>106</v>
      </c>
      <c r="B47" s="4" t="s">
        <v>107</v>
      </c>
      <c r="C47" s="2" t="s">
        <v>32</v>
      </c>
      <c r="D47" s="2" t="s">
        <v>27</v>
      </c>
      <c r="E47" s="2" t="s">
        <v>27</v>
      </c>
      <c r="G47" s="4">
        <v>50</v>
      </c>
      <c r="Q47" s="4">
        <v>200</v>
      </c>
      <c r="T47" s="4">
        <f t="shared" si="3"/>
        <v>250</v>
      </c>
      <c r="U47" s="36">
        <f>IF(Table2[[#This Row],[Nazwisko]]="","",IF(AND(D47="Nie",E47="Nie"),0,IF(AND(D47="Tak",E47="Nie"),Podsumowanie!$B$19,Podsumowanie!$C$19)))</f>
        <v>700</v>
      </c>
      <c r="V47" s="4">
        <f t="shared" si="1"/>
        <v>-450</v>
      </c>
      <c r="W47" s="55" t="str">
        <f t="shared" si="2"/>
        <v>NOK</v>
      </c>
      <c r="X47" s="4"/>
      <c r="Z47" s="4" t="str">
        <f>Table2[[#This Row],[Nazwisko]]&amp;Table2[[#This Row],[Imię]]</f>
        <v>KancerekDawid</v>
      </c>
      <c r="AA47" s="2">
        <f>COUNTIF(Z47:$Z$275,Z47)</f>
        <v>1</v>
      </c>
    </row>
    <row r="48" spans="1:27" hidden="1">
      <c r="A48" s="4" t="s">
        <v>108</v>
      </c>
      <c r="B48" s="4" t="s">
        <v>109</v>
      </c>
      <c r="C48" s="2" t="s">
        <v>32</v>
      </c>
      <c r="D48" s="2" t="s">
        <v>27</v>
      </c>
      <c r="E48" s="2" t="s">
        <v>27</v>
      </c>
      <c r="G48" s="4">
        <v>50</v>
      </c>
      <c r="Q48" s="4">
        <v>200</v>
      </c>
      <c r="T48" s="4">
        <f t="shared" si="3"/>
        <v>250</v>
      </c>
      <c r="U48" s="36">
        <f>IF(Table2[[#This Row],[Nazwisko]]="","",IF(AND(D48="Nie",E48="Nie"),0,IF(AND(D48="Tak",E48="Nie"),Podsumowanie!$B$19,Podsumowanie!$C$19)))</f>
        <v>700</v>
      </c>
      <c r="V48" s="4">
        <f t="shared" si="1"/>
        <v>-450</v>
      </c>
      <c r="W48" s="55" t="str">
        <f t="shared" si="2"/>
        <v>NOK</v>
      </c>
      <c r="X48" s="4"/>
      <c r="Z48" s="4" t="str">
        <f>Table2[[#This Row],[Nazwisko]]&amp;Table2[[#This Row],[Imię]]</f>
        <v>BałutPiotr</v>
      </c>
      <c r="AA48" s="2">
        <f>COUNTIF(Z48:$Z$275,Z48)</f>
        <v>1</v>
      </c>
    </row>
    <row r="49" spans="1:27" hidden="1">
      <c r="A49" s="4" t="s">
        <v>110</v>
      </c>
      <c r="B49" s="4" t="s">
        <v>111</v>
      </c>
      <c r="C49" s="2" t="s">
        <v>32</v>
      </c>
      <c r="D49" s="2" t="s">
        <v>27</v>
      </c>
      <c r="E49" s="2" t="s">
        <v>27</v>
      </c>
      <c r="G49" s="4">
        <v>50</v>
      </c>
      <c r="Q49" s="4">
        <v>200</v>
      </c>
      <c r="T49" s="4">
        <f t="shared" si="3"/>
        <v>250</v>
      </c>
      <c r="U49" s="36">
        <f>IF(Table2[[#This Row],[Nazwisko]]="","",IF(AND(D49="Nie",E49="Nie"),0,IF(AND(D49="Tak",E49="Nie"),Podsumowanie!$B$19,Podsumowanie!$C$19)))</f>
        <v>700</v>
      </c>
      <c r="V49" s="4">
        <f t="shared" si="1"/>
        <v>-450</v>
      </c>
      <c r="W49" s="55" t="str">
        <f t="shared" si="2"/>
        <v>NOK</v>
      </c>
      <c r="X49" s="4"/>
      <c r="Z49" s="4" t="str">
        <f>Table2[[#This Row],[Nazwisko]]&amp;Table2[[#This Row],[Imię]]</f>
        <v>GębiczAnna</v>
      </c>
      <c r="AA49" s="2">
        <f>COUNTIF(Z49:$Z$275,Z49)</f>
        <v>1</v>
      </c>
    </row>
    <row r="50" spans="1:27" hidden="1">
      <c r="A50" s="4" t="s">
        <v>112</v>
      </c>
      <c r="B50" s="4" t="s">
        <v>59</v>
      </c>
      <c r="C50" s="2" t="s">
        <v>113</v>
      </c>
      <c r="D50" s="2" t="s">
        <v>27</v>
      </c>
      <c r="E50" s="2" t="s">
        <v>27</v>
      </c>
      <c r="F50" s="2" t="s">
        <v>114</v>
      </c>
      <c r="G50" s="4">
        <v>50</v>
      </c>
      <c r="T50" s="4">
        <f t="shared" si="3"/>
        <v>50</v>
      </c>
      <c r="U50" s="36">
        <f>IF(Table2[[#This Row],[Nazwisko]]="","",IF(AND(D50="Nie",E50="Nie"),0,IF(AND(D50="Tak",E50="Nie"),Podsumowanie!$B$19,Podsumowanie!$C$19)))</f>
        <v>700</v>
      </c>
      <c r="V50" s="4">
        <f t="shared" si="1"/>
        <v>-650</v>
      </c>
      <c r="W50" s="55" t="str">
        <f t="shared" si="2"/>
        <v>NOK</v>
      </c>
      <c r="X50" s="4"/>
      <c r="Z50" s="4" t="str">
        <f>Table2[[#This Row],[Nazwisko]]&amp;Table2[[#This Row],[Imię]]</f>
        <v>StępieńNatalia</v>
      </c>
      <c r="AA50" s="2">
        <f>COUNTIF(Z50:$Z$275,Z50)</f>
        <v>1</v>
      </c>
    </row>
    <row r="51" spans="1:27" hidden="1">
      <c r="A51" s="4" t="s">
        <v>115</v>
      </c>
      <c r="B51" s="4" t="s">
        <v>116</v>
      </c>
      <c r="C51" s="2" t="s">
        <v>113</v>
      </c>
      <c r="D51" s="2" t="s">
        <v>27</v>
      </c>
      <c r="E51" s="2" t="s">
        <v>33</v>
      </c>
      <c r="F51" s="2" t="s">
        <v>117</v>
      </c>
      <c r="G51" s="4">
        <v>50</v>
      </c>
      <c r="T51" s="4">
        <f t="shared" si="3"/>
        <v>50</v>
      </c>
      <c r="U51" s="36">
        <f>IF(Table2[[#This Row],[Nazwisko]]="","",IF(AND(D51="Nie",E51="Nie"),0,IF(AND(D51="Tak",E51="Nie"),Podsumowanie!$B$19,Podsumowanie!$C$19)))</f>
        <v>430</v>
      </c>
      <c r="V51" s="4">
        <f t="shared" si="1"/>
        <v>-380</v>
      </c>
      <c r="W51" s="55" t="str">
        <f t="shared" si="2"/>
        <v>NOK</v>
      </c>
      <c r="X51" s="4"/>
      <c r="Z51" s="4" t="str">
        <f>Table2[[#This Row],[Nazwisko]]&amp;Table2[[#This Row],[Imię]]</f>
        <v>MajcherekMałgorzata</v>
      </c>
      <c r="AA51" s="2">
        <f>COUNTIF(Z51:$Z$275,Z51)</f>
        <v>1</v>
      </c>
    </row>
    <row r="52" spans="1:27" hidden="1">
      <c r="A52" s="4" t="s">
        <v>118</v>
      </c>
      <c r="B52" s="4" t="s">
        <v>73</v>
      </c>
      <c r="C52" s="2" t="s">
        <v>113</v>
      </c>
      <c r="D52" s="2" t="s">
        <v>27</v>
      </c>
      <c r="E52" s="2" t="s">
        <v>27</v>
      </c>
      <c r="F52" s="2" t="s">
        <v>119</v>
      </c>
      <c r="G52" s="4">
        <v>50</v>
      </c>
      <c r="T52" s="4">
        <f t="shared" si="3"/>
        <v>50</v>
      </c>
      <c r="U52" s="36">
        <f>IF(Table2[[#This Row],[Nazwisko]]="","",IF(AND(D52="Nie",E52="Nie"),0,IF(AND(D52="Tak",E52="Nie"),Podsumowanie!$B$19,Podsumowanie!$C$19)))</f>
        <v>700</v>
      </c>
      <c r="V52" s="4">
        <f t="shared" si="1"/>
        <v>-650</v>
      </c>
      <c r="W52" s="55" t="str">
        <f t="shared" si="2"/>
        <v>NOK</v>
      </c>
      <c r="X52" s="4"/>
      <c r="Z52" s="4" t="str">
        <f>Table2[[#This Row],[Nazwisko]]&amp;Table2[[#This Row],[Imię]]</f>
        <v>OsieckaJulia</v>
      </c>
      <c r="AA52" s="2">
        <f>COUNTIF(Z52:$Z$275,Z52)</f>
        <v>1</v>
      </c>
    </row>
    <row r="53" spans="1:27" hidden="1">
      <c r="A53" s="111" t="s">
        <v>120</v>
      </c>
      <c r="B53" s="4" t="s">
        <v>121</v>
      </c>
      <c r="C53" s="2" t="s">
        <v>113</v>
      </c>
      <c r="D53" s="2" t="s">
        <v>33</v>
      </c>
      <c r="E53" s="2" t="s">
        <v>33</v>
      </c>
      <c r="F53" s="2" t="s">
        <v>122</v>
      </c>
      <c r="G53" s="4">
        <v>50</v>
      </c>
      <c r="T53" s="4">
        <f t="shared" si="3"/>
        <v>50</v>
      </c>
      <c r="U53" s="36">
        <f>IF(Table2[[#This Row],[Nazwisko]]="","",IF(AND(D53="Nie",E53="Nie"),0,IF(AND(D53="Tak",E53="Nie"),Podsumowanie!$B$19,Podsumowanie!$C$19)))</f>
        <v>0</v>
      </c>
      <c r="V53" s="4">
        <f t="shared" si="1"/>
        <v>50</v>
      </c>
      <c r="W53" s="55" t="str">
        <f t="shared" si="2"/>
        <v>OK</v>
      </c>
      <c r="X53" s="4"/>
      <c r="Z53" s="4" t="str">
        <f>Table2[[#This Row],[Nazwisko]]&amp;Table2[[#This Row],[Imię]]</f>
        <v>PrzeradaRóża</v>
      </c>
      <c r="AA53" s="2">
        <f>COUNTIF(Z53:$Z$275,Z53)</f>
        <v>1</v>
      </c>
    </row>
    <row r="54" spans="1:27" hidden="1">
      <c r="A54" s="4" t="s">
        <v>123</v>
      </c>
      <c r="B54" s="4" t="s">
        <v>37</v>
      </c>
      <c r="C54" s="2" t="s">
        <v>113</v>
      </c>
      <c r="D54" s="2" t="s">
        <v>27</v>
      </c>
      <c r="E54" s="2" t="s">
        <v>33</v>
      </c>
      <c r="G54" s="4">
        <v>50</v>
      </c>
      <c r="T54" s="4">
        <f t="shared" si="3"/>
        <v>50</v>
      </c>
      <c r="U54" s="36">
        <f>IF(Table2[[#This Row],[Nazwisko]]="","",IF(AND(D54="Nie",E54="Nie"),0,IF(AND(D54="Tak",E54="Nie"),Podsumowanie!$B$19,Podsumowanie!$C$19)))</f>
        <v>430</v>
      </c>
      <c r="V54" s="4">
        <f t="shared" si="1"/>
        <v>-380</v>
      </c>
      <c r="W54" s="55" t="str">
        <f t="shared" si="2"/>
        <v>NOK</v>
      </c>
      <c r="X54" s="4"/>
      <c r="Z54" s="4" t="str">
        <f>Table2[[#This Row],[Nazwisko]]&amp;Table2[[#This Row],[Imię]]</f>
        <v>StojeckaPatrycja</v>
      </c>
      <c r="AA54" s="2">
        <f>COUNTIF(Z54:$Z$275,Z54)</f>
        <v>1</v>
      </c>
    </row>
    <row r="55" spans="1:27" hidden="1">
      <c r="A55" s="4" t="s">
        <v>124</v>
      </c>
      <c r="B55" s="4" t="s">
        <v>73</v>
      </c>
      <c r="C55" s="2" t="s">
        <v>113</v>
      </c>
      <c r="D55" s="2" t="s">
        <v>27</v>
      </c>
      <c r="E55" s="2" t="s">
        <v>27</v>
      </c>
      <c r="F55" s="2" t="s">
        <v>125</v>
      </c>
      <c r="G55" s="4">
        <v>50</v>
      </c>
      <c r="T55" s="4">
        <f t="shared" si="3"/>
        <v>50</v>
      </c>
      <c r="U55" s="36">
        <f>IF(Table2[[#This Row],[Nazwisko]]="","",IF(AND(D55="Nie",E55="Nie"),0,IF(AND(D55="Tak",E55="Nie"),Podsumowanie!$B$19,Podsumowanie!$C$19)))</f>
        <v>700</v>
      </c>
      <c r="V55" s="4">
        <f t="shared" si="1"/>
        <v>-650</v>
      </c>
      <c r="W55" s="55" t="str">
        <f t="shared" si="2"/>
        <v>NOK</v>
      </c>
      <c r="X55" s="4"/>
      <c r="Z55" s="4" t="str">
        <f>Table2[[#This Row],[Nazwisko]]&amp;Table2[[#This Row],[Imię]]</f>
        <v>ŚwitońJulia</v>
      </c>
      <c r="AA55" s="2">
        <f>COUNTIF(Z55:$Z$275,Z55)</f>
        <v>1</v>
      </c>
    </row>
    <row r="56" spans="1:27" hidden="1">
      <c r="A56" s="4" t="s">
        <v>126</v>
      </c>
      <c r="B56" s="4" t="s">
        <v>127</v>
      </c>
      <c r="C56" s="2" t="s">
        <v>113</v>
      </c>
      <c r="D56" s="2" t="s">
        <v>27</v>
      </c>
      <c r="E56" s="2" t="s">
        <v>27</v>
      </c>
      <c r="F56" s="2" t="s">
        <v>128</v>
      </c>
      <c r="G56" s="4">
        <v>50</v>
      </c>
      <c r="T56" s="4">
        <f t="shared" si="3"/>
        <v>50</v>
      </c>
      <c r="U56" s="36">
        <f>IF(Table2[[#This Row],[Nazwisko]]="","",IF(AND(D56="Nie",E56="Nie"),0,IF(AND(D56="Tak",E56="Nie"),Podsumowanie!$B$19,Podsumowanie!$C$19)))</f>
        <v>700</v>
      </c>
      <c r="V56" s="4">
        <f t="shared" si="1"/>
        <v>-650</v>
      </c>
      <c r="W56" s="55" t="str">
        <f t="shared" si="2"/>
        <v>NOK</v>
      </c>
      <c r="X56" s="4"/>
      <c r="Z56" s="4" t="str">
        <f>Table2[[#This Row],[Nazwisko]]&amp;Table2[[#This Row],[Imię]]</f>
        <v>ZaródKacper</v>
      </c>
      <c r="AA56" s="2">
        <f>COUNTIF(Z56:$Z$275,Z56)</f>
        <v>1</v>
      </c>
    </row>
    <row r="57" spans="1:27" hidden="1">
      <c r="A57" s="4" t="s">
        <v>88</v>
      </c>
      <c r="B57" s="4" t="s">
        <v>63</v>
      </c>
      <c r="C57" s="2" t="s">
        <v>113</v>
      </c>
      <c r="D57" s="2" t="s">
        <v>27</v>
      </c>
      <c r="E57" s="2" t="s">
        <v>27</v>
      </c>
      <c r="F57" s="2" t="s">
        <v>129</v>
      </c>
      <c r="G57" s="4">
        <v>50</v>
      </c>
      <c r="T57" s="4">
        <f t="shared" si="3"/>
        <v>50</v>
      </c>
      <c r="U57" s="36">
        <f>IF(Table2[[#This Row],[Nazwisko]]="","",IF(AND(D57="Nie",E57="Nie"),0,IF(AND(D57="Tak",E57="Nie"),Podsumowanie!$B$19,Podsumowanie!$C$19)))</f>
        <v>700</v>
      </c>
      <c r="V57" s="4">
        <f t="shared" si="1"/>
        <v>-650</v>
      </c>
      <c r="W57" s="55" t="str">
        <f t="shared" si="2"/>
        <v>NOK</v>
      </c>
      <c r="X57" s="4"/>
      <c r="Z57" s="4" t="str">
        <f>Table2[[#This Row],[Nazwisko]]&amp;Table2[[#This Row],[Imię]]</f>
        <v>ZatońMaja</v>
      </c>
      <c r="AA57" s="2">
        <f>COUNTIF(Z57:$Z$275,Z57)</f>
        <v>1</v>
      </c>
    </row>
    <row r="58" spans="1:27" hidden="1">
      <c r="A58" s="4" t="s">
        <v>130</v>
      </c>
      <c r="B58" s="4" t="s">
        <v>131</v>
      </c>
      <c r="C58" s="2" t="s">
        <v>113</v>
      </c>
      <c r="D58" s="2" t="s">
        <v>27</v>
      </c>
      <c r="E58" s="2" t="s">
        <v>27</v>
      </c>
      <c r="F58" s="2" t="s">
        <v>132</v>
      </c>
      <c r="G58" s="4">
        <v>50</v>
      </c>
      <c r="T58" s="4">
        <f t="shared" si="3"/>
        <v>50</v>
      </c>
      <c r="U58" s="36">
        <f>IF(Table2[[#This Row],[Nazwisko]]="","",IF(AND(D58="Nie",E58="Nie"),0,IF(AND(D58="Tak",E58="Nie"),Podsumowanie!$B$19,Podsumowanie!$C$19)))</f>
        <v>700</v>
      </c>
      <c r="V58" s="4">
        <f t="shared" si="1"/>
        <v>-650</v>
      </c>
      <c r="W58" s="55" t="str">
        <f t="shared" si="2"/>
        <v>NOK</v>
      </c>
      <c r="X58" s="4"/>
      <c r="Z58" s="4" t="str">
        <f>Table2[[#This Row],[Nazwisko]]&amp;Table2[[#This Row],[Imię]]</f>
        <v>WalickaMichalina</v>
      </c>
      <c r="AA58" s="2">
        <f>COUNTIF(Z58:$Z$275,Z58)</f>
        <v>1</v>
      </c>
    </row>
    <row r="59" spans="1:27" hidden="1">
      <c r="A59" s="4" t="s">
        <v>133</v>
      </c>
      <c r="B59" s="4" t="s">
        <v>46</v>
      </c>
      <c r="C59" s="2" t="s">
        <v>113</v>
      </c>
      <c r="D59" s="2" t="s">
        <v>27</v>
      </c>
      <c r="E59" s="2" t="s">
        <v>27</v>
      </c>
      <c r="G59" s="4">
        <v>50</v>
      </c>
      <c r="T59" s="4">
        <f t="shared" si="3"/>
        <v>50</v>
      </c>
      <c r="U59" s="36">
        <f>IF(Table2[[#This Row],[Nazwisko]]="","",IF(AND(D59="Nie",E59="Nie"),0,IF(AND(D59="Tak",E59="Nie"),Podsumowanie!$B$19,Podsumowanie!$C$19)))</f>
        <v>700</v>
      </c>
      <c r="V59" s="4">
        <f t="shared" si="1"/>
        <v>-650</v>
      </c>
      <c r="W59" s="55" t="str">
        <f t="shared" si="2"/>
        <v>NOK</v>
      </c>
      <c r="X59" s="4"/>
      <c r="Z59" s="4" t="str">
        <f>Table2[[#This Row],[Nazwisko]]&amp;Table2[[#This Row],[Imię]]</f>
        <v>ŻołdakWeronika</v>
      </c>
      <c r="AA59" s="2">
        <f>COUNTIF(Z59:$Z$275,Z59)</f>
        <v>1</v>
      </c>
    </row>
    <row r="60" spans="1:27" hidden="1">
      <c r="A60" s="4" t="s">
        <v>134</v>
      </c>
      <c r="B60" s="4" t="s">
        <v>135</v>
      </c>
      <c r="C60" s="2" t="s">
        <v>113</v>
      </c>
      <c r="D60" s="2" t="s">
        <v>27</v>
      </c>
      <c r="E60" s="2" t="s">
        <v>33</v>
      </c>
      <c r="F60" s="2" t="s">
        <v>117</v>
      </c>
      <c r="G60" s="4">
        <v>50</v>
      </c>
      <c r="T60" s="4">
        <f t="shared" si="3"/>
        <v>50</v>
      </c>
      <c r="U60" s="36">
        <f>IF(Table2[[#This Row],[Nazwisko]]="","",IF(AND(D60="Nie",E60="Nie"),0,IF(AND(D60="Tak",E60="Nie"),Podsumowanie!$B$19,Podsumowanie!$C$19)))</f>
        <v>430</v>
      </c>
      <c r="V60" s="4">
        <f t="shared" si="1"/>
        <v>-380</v>
      </c>
      <c r="W60" s="55" t="str">
        <f t="shared" si="2"/>
        <v>NOK</v>
      </c>
      <c r="X60" s="4"/>
      <c r="Z60" s="4" t="str">
        <f>Table2[[#This Row],[Nazwisko]]&amp;Table2[[#This Row],[Imię]]</f>
        <v>SzymańskiAdam</v>
      </c>
      <c r="AA60" s="2">
        <f>COUNTIF(Z60:$Z$275,Z60)</f>
        <v>1</v>
      </c>
    </row>
    <row r="61" spans="1:27" hidden="1">
      <c r="A61" s="4" t="s">
        <v>136</v>
      </c>
      <c r="B61" s="4" t="s">
        <v>92</v>
      </c>
      <c r="C61" s="2" t="s">
        <v>113</v>
      </c>
      <c r="D61" s="2" t="s">
        <v>27</v>
      </c>
      <c r="E61" s="2" t="s">
        <v>27</v>
      </c>
      <c r="F61" s="2" t="s">
        <v>137</v>
      </c>
      <c r="G61" s="4">
        <v>50</v>
      </c>
      <c r="T61" s="4">
        <f t="shared" si="3"/>
        <v>50</v>
      </c>
      <c r="U61" s="36">
        <f>IF(Table2[[#This Row],[Nazwisko]]="","",IF(AND(D61="Nie",E61="Nie"),0,IF(AND(D61="Tak",E61="Nie"),Podsumowanie!$B$19,Podsumowanie!$C$19)))</f>
        <v>700</v>
      </c>
      <c r="V61" s="4">
        <f t="shared" si="1"/>
        <v>-650</v>
      </c>
      <c r="W61" s="55" t="str">
        <f t="shared" si="2"/>
        <v>NOK</v>
      </c>
      <c r="X61" s="4"/>
      <c r="Z61" s="4" t="str">
        <f>Table2[[#This Row],[Nazwisko]]&amp;Table2[[#This Row],[Imię]]</f>
        <v>JanikKarolina</v>
      </c>
      <c r="AA61" s="2">
        <f>COUNTIF(Z61:$Z$275,Z61)</f>
        <v>1</v>
      </c>
    </row>
    <row r="62" spans="1:27" hidden="1">
      <c r="A62" s="4" t="s">
        <v>138</v>
      </c>
      <c r="B62" s="4" t="s">
        <v>139</v>
      </c>
      <c r="C62" s="2" t="s">
        <v>113</v>
      </c>
      <c r="D62" s="2" t="s">
        <v>27</v>
      </c>
      <c r="E62" s="2" t="s">
        <v>27</v>
      </c>
      <c r="F62" s="2" t="s">
        <v>140</v>
      </c>
      <c r="G62" s="4">
        <v>50</v>
      </c>
      <c r="T62" s="4">
        <f t="shared" si="3"/>
        <v>50</v>
      </c>
      <c r="U62" s="36">
        <f>IF(Table2[[#This Row],[Nazwisko]]="","",IF(AND(D62="Nie",E62="Nie"),0,IF(AND(D62="Tak",E62="Nie"),Podsumowanie!$B$19,Podsumowanie!$C$19)))</f>
        <v>700</v>
      </c>
      <c r="V62" s="4">
        <f t="shared" si="1"/>
        <v>-650</v>
      </c>
      <c r="W62" s="55" t="str">
        <f t="shared" si="2"/>
        <v>NOK</v>
      </c>
      <c r="X62" s="4"/>
      <c r="Z62" s="4" t="str">
        <f>Table2[[#This Row],[Nazwisko]]&amp;Table2[[#This Row],[Imię]]</f>
        <v>KrupaAntonina</v>
      </c>
      <c r="AA62" s="2">
        <f>COUNTIF(Z62:$Z$275,Z62)</f>
        <v>1</v>
      </c>
    </row>
    <row r="63" spans="1:27" hidden="1">
      <c r="A63" s="4" t="s">
        <v>141</v>
      </c>
      <c r="B63" s="4" t="s">
        <v>65</v>
      </c>
      <c r="C63" s="2" t="s">
        <v>113</v>
      </c>
      <c r="D63" s="2" t="s">
        <v>27</v>
      </c>
      <c r="E63" s="2" t="s">
        <v>27</v>
      </c>
      <c r="F63" s="2" t="s">
        <v>142</v>
      </c>
      <c r="G63" s="4">
        <v>50</v>
      </c>
      <c r="T63" s="4">
        <f t="shared" si="3"/>
        <v>50</v>
      </c>
      <c r="U63" s="36">
        <f>IF(Table2[[#This Row],[Nazwisko]]="","",IF(AND(D63="Nie",E63="Nie"),0,IF(AND(D63="Tak",E63="Nie"),Podsumowanie!$B$19,Podsumowanie!$C$19)))</f>
        <v>700</v>
      </c>
      <c r="V63" s="4">
        <f t="shared" si="1"/>
        <v>-650</v>
      </c>
      <c r="W63" s="55" t="str">
        <f t="shared" si="2"/>
        <v>NOK</v>
      </c>
      <c r="X63" s="4" t="s">
        <v>143</v>
      </c>
      <c r="Z63" s="4" t="str">
        <f>Table2[[#This Row],[Nazwisko]]&amp;Table2[[#This Row],[Imię]]</f>
        <v>RadkowNikola</v>
      </c>
      <c r="AA63" s="2">
        <f>COUNTIF(Z63:$Z$275,Z63)</f>
        <v>1</v>
      </c>
    </row>
    <row r="64" spans="1:27" hidden="1">
      <c r="A64" s="111" t="s">
        <v>144</v>
      </c>
      <c r="B64" s="4" t="s">
        <v>52</v>
      </c>
      <c r="C64" s="2" t="s">
        <v>113</v>
      </c>
      <c r="D64" s="2" t="s">
        <v>33</v>
      </c>
      <c r="E64" s="2" t="s">
        <v>33</v>
      </c>
      <c r="F64" s="2" t="s">
        <v>122</v>
      </c>
      <c r="G64" s="4">
        <v>50</v>
      </c>
      <c r="T64" s="4">
        <f t="shared" si="3"/>
        <v>50</v>
      </c>
      <c r="U64" s="36">
        <f>IF(Table2[[#This Row],[Nazwisko]]="","",IF(AND(D64="Nie",E64="Nie"),0,IF(AND(D64="Tak",E64="Nie"),Podsumowanie!$B$19,Podsumowanie!$C$19)))</f>
        <v>0</v>
      </c>
      <c r="V64" s="4">
        <f t="shared" si="1"/>
        <v>50</v>
      </c>
      <c r="W64" s="55" t="str">
        <f t="shared" si="2"/>
        <v>OK</v>
      </c>
      <c r="X64" s="4"/>
      <c r="Z64" s="4" t="str">
        <f>Table2[[#This Row],[Nazwisko]]&amp;Table2[[#This Row],[Imię]]</f>
        <v>JadczykWiktoria</v>
      </c>
      <c r="AA64" s="2">
        <f>COUNTIF(Z64:$Z$275,Z64)</f>
        <v>1</v>
      </c>
    </row>
    <row r="65" spans="1:27" hidden="1">
      <c r="A65" s="4" t="s">
        <v>145</v>
      </c>
      <c r="B65" s="4" t="s">
        <v>146</v>
      </c>
      <c r="C65" s="2" t="s">
        <v>113</v>
      </c>
      <c r="D65" s="2" t="s">
        <v>27</v>
      </c>
      <c r="E65" s="2" t="s">
        <v>27</v>
      </c>
      <c r="F65" s="2" t="s">
        <v>147</v>
      </c>
      <c r="G65" s="4">
        <v>50</v>
      </c>
      <c r="T65" s="4">
        <f t="shared" si="3"/>
        <v>50</v>
      </c>
      <c r="U65" s="36">
        <f>IF(Table2[[#This Row],[Nazwisko]]="","",IF(AND(D65="Nie",E65="Nie"),0,IF(AND(D65="Tak",E65="Nie"),Podsumowanie!$B$19,Podsumowanie!$C$19)))</f>
        <v>700</v>
      </c>
      <c r="V65" s="4">
        <f t="shared" si="1"/>
        <v>-650</v>
      </c>
      <c r="W65" s="55" t="str">
        <f t="shared" si="2"/>
        <v>NOK</v>
      </c>
      <c r="X65" s="4"/>
      <c r="Z65" s="4" t="str">
        <f>Table2[[#This Row],[Nazwisko]]&amp;Table2[[#This Row],[Imię]]</f>
        <v>SkalikJessica</v>
      </c>
      <c r="AA65" s="2">
        <f>COUNTIF(Z65:$Z$275,Z65)</f>
        <v>1</v>
      </c>
    </row>
    <row r="66" spans="1:27">
      <c r="A66" s="4" t="s">
        <v>148</v>
      </c>
      <c r="B66" s="4" t="s">
        <v>65</v>
      </c>
      <c r="C66" s="2" t="s">
        <v>87</v>
      </c>
      <c r="D66" s="2" t="s">
        <v>27</v>
      </c>
      <c r="E66" s="2" t="s">
        <v>33</v>
      </c>
      <c r="F66" s="2" t="s">
        <v>149</v>
      </c>
      <c r="G66" s="4">
        <v>50</v>
      </c>
      <c r="P66" s="4">
        <v>100</v>
      </c>
      <c r="Q66" s="4">
        <v>100</v>
      </c>
      <c r="T66" s="4">
        <f t="shared" si="3"/>
        <v>250</v>
      </c>
      <c r="U66" s="36">
        <f>IF(Table2[[#This Row],[Nazwisko]]="","",IF(AND(D66="Nie",E66="Nie"),0,IF(AND(D66="Tak",E66="Nie"),Podsumowanie!$B$19,Podsumowanie!$C$19)))</f>
        <v>430</v>
      </c>
      <c r="V66" s="4">
        <f t="shared" si="1"/>
        <v>-180</v>
      </c>
      <c r="W66" s="55" t="str">
        <f t="shared" si="2"/>
        <v>NOK</v>
      </c>
      <c r="X66" s="4"/>
      <c r="Z66" s="4" t="str">
        <f>Table2[[#This Row],[Nazwisko]]&amp;Table2[[#This Row],[Imię]]</f>
        <v>WróblewskaNikola</v>
      </c>
      <c r="AA66" s="2">
        <f>COUNTIF(Z66:$Z$275,Z66)</f>
        <v>1</v>
      </c>
    </row>
    <row r="67" spans="1:27" hidden="1">
      <c r="A67" s="4" t="s">
        <v>150</v>
      </c>
      <c r="B67" s="4" t="s">
        <v>29</v>
      </c>
      <c r="C67" s="2" t="s">
        <v>113</v>
      </c>
      <c r="D67" s="2" t="s">
        <v>27</v>
      </c>
      <c r="E67" s="2" t="s">
        <v>27</v>
      </c>
      <c r="F67" s="2" t="s">
        <v>151</v>
      </c>
      <c r="G67" s="4">
        <v>50</v>
      </c>
      <c r="T67" s="4">
        <f t="shared" si="3"/>
        <v>50</v>
      </c>
      <c r="U67" s="36">
        <f>IF(Table2[[#This Row],[Nazwisko]]="","",IF(AND(D67="Nie",E67="Nie"),0,IF(AND(D67="Tak",E67="Nie"),Podsumowanie!$B$19,Podsumowanie!$C$19)))</f>
        <v>700</v>
      </c>
      <c r="V67" s="4">
        <f t="shared" ref="V67:V130" si="4">IFERROR(T67-U67,"")</f>
        <v>-650</v>
      </c>
      <c r="W67" s="55" t="str">
        <f t="shared" ref="W67:W130" si="5">IF(OR(A67="",V67=0),"",IF(OR(V67&gt;-0.01,V67=0),"OK","NOK"))</f>
        <v>NOK</v>
      </c>
      <c r="X67" s="4"/>
      <c r="Z67" s="4" t="str">
        <f>Table2[[#This Row],[Nazwisko]]&amp;Table2[[#This Row],[Imię]]</f>
        <v>OwsianaMartyna</v>
      </c>
      <c r="AA67" s="2">
        <f>COUNTIF(Z67:$Z$275,Z67)</f>
        <v>1</v>
      </c>
    </row>
    <row r="68" spans="1:27" hidden="1">
      <c r="A68" s="4" t="s">
        <v>152</v>
      </c>
      <c r="B68" s="4" t="s">
        <v>153</v>
      </c>
      <c r="C68" s="2" t="s">
        <v>26</v>
      </c>
      <c r="D68" s="2" t="s">
        <v>27</v>
      </c>
      <c r="E68" s="2" t="s">
        <v>27</v>
      </c>
      <c r="G68" s="4">
        <v>50</v>
      </c>
      <c r="T68" s="4">
        <f t="shared" ref="T68:T131" si="6">SUM(G68:S68)</f>
        <v>50</v>
      </c>
      <c r="U68" s="36">
        <f>IF(Table2[[#This Row],[Nazwisko]]="","",IF(AND(D68="Nie",E68="Nie"),0,IF(AND(D68="Tak",E68="Nie"),Podsumowanie!$B$19,Podsumowanie!$C$19)))</f>
        <v>700</v>
      </c>
      <c r="V68" s="4">
        <f t="shared" si="4"/>
        <v>-650</v>
      </c>
      <c r="W68" s="55" t="str">
        <f t="shared" si="5"/>
        <v>NOK</v>
      </c>
      <c r="X68" s="4"/>
      <c r="Z68" s="4" t="str">
        <f>Table2[[#This Row],[Nazwisko]]&amp;Table2[[#This Row],[Imię]]</f>
        <v>KłosińskaAngelika</v>
      </c>
      <c r="AA68" s="2">
        <f>COUNTIF(Z68:$Z$275,Z68)</f>
        <v>1</v>
      </c>
    </row>
    <row r="69" spans="1:27" hidden="1">
      <c r="A69" s="4" t="s">
        <v>154</v>
      </c>
      <c r="B69" s="4" t="s">
        <v>63</v>
      </c>
      <c r="C69" s="2" t="s">
        <v>26</v>
      </c>
      <c r="D69" s="2" t="s">
        <v>27</v>
      </c>
      <c r="E69" s="2" t="s">
        <v>27</v>
      </c>
      <c r="G69" s="4">
        <v>50</v>
      </c>
      <c r="T69" s="4">
        <f t="shared" si="6"/>
        <v>50</v>
      </c>
      <c r="U69" s="36">
        <f>IF(Table2[[#This Row],[Nazwisko]]="","",IF(AND(D69="Nie",E69="Nie"),0,IF(AND(D69="Tak",E69="Nie"),Podsumowanie!$B$19,Podsumowanie!$C$19)))</f>
        <v>700</v>
      </c>
      <c r="V69" s="4">
        <f t="shared" si="4"/>
        <v>-650</v>
      </c>
      <c r="W69" s="55" t="str">
        <f t="shared" si="5"/>
        <v>NOK</v>
      </c>
      <c r="X69" s="4"/>
      <c r="Z69" s="4" t="str">
        <f>Table2[[#This Row],[Nazwisko]]&amp;Table2[[#This Row],[Imię]]</f>
        <v>MielczarekMaja</v>
      </c>
      <c r="AA69" s="2">
        <f>COUNTIF(Z69:$Z$275,Z69)</f>
        <v>1</v>
      </c>
    </row>
    <row r="70" spans="1:27" hidden="1">
      <c r="A70" s="4" t="s">
        <v>155</v>
      </c>
      <c r="B70" s="4" t="s">
        <v>63</v>
      </c>
      <c r="C70" s="2" t="s">
        <v>113</v>
      </c>
      <c r="D70" s="2" t="s">
        <v>27</v>
      </c>
      <c r="E70" s="2" t="s">
        <v>27</v>
      </c>
      <c r="F70" s="2" t="s">
        <v>156</v>
      </c>
      <c r="G70" s="4">
        <v>50</v>
      </c>
      <c r="T70" s="4">
        <f t="shared" si="6"/>
        <v>50</v>
      </c>
      <c r="U70" s="36">
        <f>IF(Table2[[#This Row],[Nazwisko]]="","",IF(AND(D70="Nie",E70="Nie"),0,IF(AND(D70="Tak",E70="Nie"),Podsumowanie!$B$19,Podsumowanie!$C$19)))</f>
        <v>700</v>
      </c>
      <c r="V70" s="4">
        <f t="shared" si="4"/>
        <v>-650</v>
      </c>
      <c r="W70" s="55" t="str">
        <f t="shared" si="5"/>
        <v>NOK</v>
      </c>
      <c r="X70" s="4"/>
      <c r="Z70" s="4" t="str">
        <f>Table2[[#This Row],[Nazwisko]]&amp;Table2[[#This Row],[Imię]]</f>
        <v>AdasiakMaja</v>
      </c>
      <c r="AA70" s="2">
        <f>COUNTIF(Z70:$Z$275,Z70)</f>
        <v>1</v>
      </c>
    </row>
    <row r="71" spans="1:27">
      <c r="A71" s="4" t="s">
        <v>157</v>
      </c>
      <c r="B71" s="4" t="s">
        <v>25</v>
      </c>
      <c r="C71" s="2" t="s">
        <v>87</v>
      </c>
      <c r="D71" s="2" t="s">
        <v>27</v>
      </c>
      <c r="E71" s="2" t="s">
        <v>33</v>
      </c>
      <c r="G71" s="4">
        <v>50</v>
      </c>
      <c r="P71" s="4">
        <v>100</v>
      </c>
      <c r="Q71" s="4">
        <v>100</v>
      </c>
      <c r="T71" s="4">
        <f t="shared" si="6"/>
        <v>250</v>
      </c>
      <c r="U71" s="36">
        <f>IF(Table2[[#This Row],[Nazwisko]]="","",IF(AND(D71="Nie",E71="Nie"),0,IF(AND(D71="Tak",E71="Nie"),Podsumowanie!$B$19,Podsumowanie!$C$19)))</f>
        <v>430</v>
      </c>
      <c r="V71" s="4">
        <f t="shared" si="4"/>
        <v>-180</v>
      </c>
      <c r="W71" s="55" t="str">
        <f t="shared" si="5"/>
        <v>NOK</v>
      </c>
      <c r="X71" s="4"/>
      <c r="Z71" s="4" t="str">
        <f>Table2[[#This Row],[Nazwisko]]&amp;Table2[[#This Row],[Imię]]</f>
        <v>KołodziejczykDaria</v>
      </c>
      <c r="AA71" s="2">
        <f>COUNTIF(Z71:$Z$275,Z71)</f>
        <v>1</v>
      </c>
    </row>
    <row r="72" spans="1:27" hidden="1">
      <c r="A72" s="4" t="s">
        <v>158</v>
      </c>
      <c r="B72" s="4" t="s">
        <v>100</v>
      </c>
      <c r="C72" s="2" t="s">
        <v>53</v>
      </c>
      <c r="D72" s="2" t="s">
        <v>27</v>
      </c>
      <c r="E72" s="2" t="s">
        <v>27</v>
      </c>
      <c r="G72" s="4">
        <v>50</v>
      </c>
      <c r="Q72" s="4">
        <v>650</v>
      </c>
      <c r="T72" s="4">
        <f t="shared" si="6"/>
        <v>700</v>
      </c>
      <c r="U72" s="36">
        <f>IF(Table2[[#This Row],[Nazwisko]]="","",IF(AND(D72="Nie",E72="Nie"),0,IF(AND(D72="Tak",E72="Nie"),Podsumowanie!$B$19,Podsumowanie!$C$19)))</f>
        <v>700</v>
      </c>
      <c r="V72" s="4">
        <f t="shared" si="4"/>
        <v>0</v>
      </c>
      <c r="W72" s="55" t="str">
        <f t="shared" si="5"/>
        <v/>
      </c>
      <c r="X72" s="4"/>
      <c r="Z72" s="4" t="str">
        <f>Table2[[#This Row],[Nazwisko]]&amp;Table2[[#This Row],[Imię]]</f>
        <v>GwaderaKaja</v>
      </c>
      <c r="AA72" s="2">
        <f>COUNTIF(Z72:$Z$275,Z72)</f>
        <v>1</v>
      </c>
    </row>
    <row r="73" spans="1:27">
      <c r="A73" s="4" t="s">
        <v>159</v>
      </c>
      <c r="B73" s="4" t="s">
        <v>29</v>
      </c>
      <c r="C73" s="2" t="s">
        <v>87</v>
      </c>
      <c r="D73" s="2" t="s">
        <v>27</v>
      </c>
      <c r="E73" s="2" t="s">
        <v>27</v>
      </c>
      <c r="G73" s="4">
        <v>50</v>
      </c>
      <c r="P73" s="4">
        <v>100</v>
      </c>
      <c r="Q73" s="4">
        <v>200</v>
      </c>
      <c r="T73" s="4">
        <f t="shared" si="6"/>
        <v>350</v>
      </c>
      <c r="U73" s="36">
        <f>IF(Table2[[#This Row],[Nazwisko]]="","",IF(AND(D73="Nie",E73="Nie"),0,IF(AND(D73="Tak",E73="Nie"),Podsumowanie!$B$19,Podsumowanie!$C$19)))</f>
        <v>700</v>
      </c>
      <c r="V73" s="4">
        <f t="shared" si="4"/>
        <v>-350</v>
      </c>
      <c r="W73" s="55" t="str">
        <f t="shared" si="5"/>
        <v>NOK</v>
      </c>
      <c r="X73" s="4"/>
      <c r="Z73" s="4" t="str">
        <f>Table2[[#This Row],[Nazwisko]]&amp;Table2[[#This Row],[Imię]]</f>
        <v>MaciejewskaMartyna</v>
      </c>
      <c r="AA73" s="2">
        <f>COUNTIF(Z73:$Z$275,Z73)</f>
        <v>1</v>
      </c>
    </row>
    <row r="74" spans="1:27" hidden="1">
      <c r="A74" s="4" t="s">
        <v>160</v>
      </c>
      <c r="B74" s="4" t="s">
        <v>161</v>
      </c>
      <c r="C74" s="2" t="s">
        <v>113</v>
      </c>
      <c r="D74" s="2" t="s">
        <v>27</v>
      </c>
      <c r="E74" s="2" t="s">
        <v>33</v>
      </c>
      <c r="G74" s="4">
        <v>50</v>
      </c>
      <c r="T74" s="4">
        <f t="shared" si="6"/>
        <v>50</v>
      </c>
      <c r="U74" s="36">
        <f>IF(Table2[[#This Row],[Nazwisko]]="","",IF(AND(D74="Nie",E74="Nie"),0,IF(AND(D74="Tak",E74="Nie"),Podsumowanie!$B$19,Podsumowanie!$C$19)))</f>
        <v>430</v>
      </c>
      <c r="V74" s="4">
        <f t="shared" si="4"/>
        <v>-380</v>
      </c>
      <c r="W74" s="55" t="str">
        <f t="shared" si="5"/>
        <v>NOK</v>
      </c>
      <c r="X74" s="4"/>
      <c r="Z74" s="4" t="str">
        <f>Table2[[#This Row],[Nazwisko]]&amp;Table2[[#This Row],[Imię]]</f>
        <v>PioruńskiWojciech</v>
      </c>
      <c r="AA74" s="2">
        <f>COUNTIF(Z74:$Z$275,Z74)</f>
        <v>1</v>
      </c>
    </row>
    <row r="75" spans="1:27">
      <c r="A75" s="4" t="s">
        <v>162</v>
      </c>
      <c r="B75" s="4" t="s">
        <v>63</v>
      </c>
      <c r="C75" s="2" t="s">
        <v>87</v>
      </c>
      <c r="D75" s="2" t="s">
        <v>27</v>
      </c>
      <c r="E75" s="2" t="s">
        <v>27</v>
      </c>
      <c r="G75" s="4">
        <v>50</v>
      </c>
      <c r="P75" s="4">
        <v>100</v>
      </c>
      <c r="Q75" s="4">
        <v>200</v>
      </c>
      <c r="T75" s="4">
        <f t="shared" si="6"/>
        <v>350</v>
      </c>
      <c r="U75" s="36">
        <f>IF(Table2[[#This Row],[Nazwisko]]="","",IF(AND(D75="Nie",E75="Nie"),0,IF(AND(D75="Tak",E75="Nie"),Podsumowanie!$B$19,Podsumowanie!$C$19)))</f>
        <v>700</v>
      </c>
      <c r="V75" s="4">
        <f t="shared" si="4"/>
        <v>-350</v>
      </c>
      <c r="W75" s="55" t="str">
        <f t="shared" si="5"/>
        <v>NOK</v>
      </c>
      <c r="X75" s="4"/>
      <c r="Z75" s="4" t="str">
        <f>Table2[[#This Row],[Nazwisko]]&amp;Table2[[#This Row],[Imię]]</f>
        <v>TrzeciakMaja</v>
      </c>
      <c r="AA75" s="2">
        <f>COUNTIF(Z75:$Z$275,Z75)</f>
        <v>1</v>
      </c>
    </row>
    <row r="76" spans="1:27">
      <c r="A76" s="4" t="s">
        <v>163</v>
      </c>
      <c r="B76" s="4" t="s">
        <v>63</v>
      </c>
      <c r="C76" s="2" t="s">
        <v>87</v>
      </c>
      <c r="D76" s="2" t="s">
        <v>27</v>
      </c>
      <c r="E76" s="2" t="s">
        <v>33</v>
      </c>
      <c r="G76" s="4">
        <v>50</v>
      </c>
      <c r="P76" s="4">
        <v>100</v>
      </c>
      <c r="Q76" s="4">
        <v>100</v>
      </c>
      <c r="T76" s="4">
        <f t="shared" si="6"/>
        <v>250</v>
      </c>
      <c r="U76" s="36">
        <f>IF(Table2[[#This Row],[Nazwisko]]="","",IF(AND(D76="Nie",E76="Nie"),0,IF(AND(D76="Tak",E76="Nie"),Podsumowanie!$B$19,Podsumowanie!$C$19)))</f>
        <v>430</v>
      </c>
      <c r="V76" s="4">
        <f t="shared" si="4"/>
        <v>-180</v>
      </c>
      <c r="W76" s="55" t="str">
        <f t="shared" si="5"/>
        <v>NOK</v>
      </c>
      <c r="X76" s="4"/>
      <c r="Z76" s="4" t="str">
        <f>Table2[[#This Row],[Nazwisko]]&amp;Table2[[#This Row],[Imię]]</f>
        <v>WilkMaja</v>
      </c>
      <c r="AA76" s="2">
        <f>COUNTIF(Z76:$Z$275,Z76)</f>
        <v>1</v>
      </c>
    </row>
    <row r="77" spans="1:27">
      <c r="A77" s="4" t="s">
        <v>93</v>
      </c>
      <c r="B77" s="4" t="s">
        <v>59</v>
      </c>
      <c r="C77" s="2" t="s">
        <v>87</v>
      </c>
      <c r="D77" s="2" t="s">
        <v>27</v>
      </c>
      <c r="E77" s="2" t="s">
        <v>27</v>
      </c>
      <c r="G77" s="4">
        <v>50</v>
      </c>
      <c r="Q77" s="4">
        <v>100</v>
      </c>
      <c r="T77" s="4">
        <f t="shared" si="6"/>
        <v>150</v>
      </c>
      <c r="U77" s="36">
        <f>IF(Table2[[#This Row],[Nazwisko]]="","",IF(AND(D77="Nie",E77="Nie"),0,IF(AND(D77="Tak",E77="Nie"),Podsumowanie!$B$19,Podsumowanie!$C$19)))</f>
        <v>700</v>
      </c>
      <c r="V77" s="4">
        <f t="shared" si="4"/>
        <v>-550</v>
      </c>
      <c r="W77" s="55" t="str">
        <f t="shared" si="5"/>
        <v>NOK</v>
      </c>
      <c r="X77" s="4"/>
      <c r="Z77" s="4" t="str">
        <f>Table2[[#This Row],[Nazwisko]]&amp;Table2[[#This Row],[Imię]]</f>
        <v>StaniszewskaNatalia</v>
      </c>
      <c r="AA77" s="2">
        <f>COUNTIF(Z77:$Z$275,Z77)</f>
        <v>1</v>
      </c>
    </row>
    <row r="78" spans="1:27" hidden="1">
      <c r="A78" s="4" t="s">
        <v>164</v>
      </c>
      <c r="B78" s="4" t="s">
        <v>165</v>
      </c>
      <c r="C78" s="2" t="s">
        <v>53</v>
      </c>
      <c r="D78" s="2" t="s">
        <v>27</v>
      </c>
      <c r="E78" s="2" t="s">
        <v>27</v>
      </c>
      <c r="G78" s="4">
        <v>50</v>
      </c>
      <c r="T78" s="4">
        <f t="shared" si="6"/>
        <v>50</v>
      </c>
      <c r="U78" s="36">
        <f>IF(Table2[[#This Row],[Nazwisko]]="","",IF(AND(D78="Nie",E78="Nie"),0,IF(AND(D78="Tak",E78="Nie"),Podsumowanie!$B$19,Podsumowanie!$C$19)))</f>
        <v>700</v>
      </c>
      <c r="V78" s="4">
        <f t="shared" si="4"/>
        <v>-650</v>
      </c>
      <c r="W78" s="55" t="str">
        <f t="shared" si="5"/>
        <v>NOK</v>
      </c>
      <c r="X78" s="4"/>
      <c r="Z78" s="4" t="str">
        <f>Table2[[#This Row],[Nazwisko]]&amp;Table2[[#This Row],[Imię]]</f>
        <v>DziubaZuzannna</v>
      </c>
      <c r="AA78" s="2">
        <f>COUNTIF(Z78:$Z$275,Z78)</f>
        <v>1</v>
      </c>
    </row>
    <row r="79" spans="1:27">
      <c r="A79" s="4" t="s">
        <v>108</v>
      </c>
      <c r="B79" s="4" t="s">
        <v>166</v>
      </c>
      <c r="C79" s="2" t="s">
        <v>87</v>
      </c>
      <c r="D79" s="2" t="s">
        <v>27</v>
      </c>
      <c r="E79" s="2" t="s">
        <v>27</v>
      </c>
      <c r="G79" s="4">
        <v>50</v>
      </c>
      <c r="P79" s="4">
        <v>100</v>
      </c>
      <c r="Q79" s="4">
        <v>100</v>
      </c>
      <c r="T79" s="4">
        <f t="shared" si="6"/>
        <v>250</v>
      </c>
      <c r="U79" s="36">
        <f>IF(Table2[[#This Row],[Nazwisko]]="","",IF(AND(D79="Nie",E79="Nie"),0,IF(AND(D79="Tak",E79="Nie"),Podsumowanie!$B$19,Podsumowanie!$C$19)))</f>
        <v>700</v>
      </c>
      <c r="V79" s="4">
        <f t="shared" si="4"/>
        <v>-450</v>
      </c>
      <c r="W79" s="55" t="str">
        <f t="shared" si="5"/>
        <v>NOK</v>
      </c>
      <c r="X79" s="4"/>
      <c r="Z79" s="4" t="str">
        <f>Table2[[#This Row],[Nazwisko]]&amp;Table2[[#This Row],[Imię]]</f>
        <v>BałutMateusz</v>
      </c>
      <c r="AA79" s="2">
        <f>COUNTIF(Z79:$Z$275,Z79)</f>
        <v>1</v>
      </c>
    </row>
    <row r="80" spans="1:27">
      <c r="A80" s="4" t="s">
        <v>167</v>
      </c>
      <c r="B80" s="4" t="s">
        <v>168</v>
      </c>
      <c r="C80" s="2" t="s">
        <v>87</v>
      </c>
      <c r="D80" s="2" t="s">
        <v>27</v>
      </c>
      <c r="E80" s="2" t="s">
        <v>33</v>
      </c>
      <c r="G80" s="4">
        <v>50</v>
      </c>
      <c r="P80" s="4">
        <v>100</v>
      </c>
      <c r="Q80" s="4">
        <v>100</v>
      </c>
      <c r="T80" s="4">
        <f t="shared" si="6"/>
        <v>250</v>
      </c>
      <c r="U80" s="36">
        <f>IF(Table2[[#This Row],[Nazwisko]]="","",IF(AND(D80="Nie",E80="Nie"),0,IF(AND(D80="Tak",E80="Nie"),Podsumowanie!$B$19,Podsumowanie!$C$19)))</f>
        <v>430</v>
      </c>
      <c r="V80" s="4">
        <f t="shared" si="4"/>
        <v>-180</v>
      </c>
      <c r="W80" s="55" t="str">
        <f t="shared" si="5"/>
        <v>NOK</v>
      </c>
      <c r="X80" s="4"/>
      <c r="Z80" s="4" t="str">
        <f>Table2[[#This Row],[Nazwisko]]&amp;Table2[[#This Row],[Imię]]</f>
        <v>KaczmarekJan</v>
      </c>
      <c r="AA80" s="2">
        <f>COUNTIF(Z80:$Z$275,Z80)</f>
        <v>1</v>
      </c>
    </row>
    <row r="81" spans="1:27">
      <c r="A81" s="4" t="s">
        <v>169</v>
      </c>
      <c r="B81" s="4" t="s">
        <v>170</v>
      </c>
      <c r="C81" s="2" t="s">
        <v>87</v>
      </c>
      <c r="D81" s="2" t="s">
        <v>27</v>
      </c>
      <c r="E81" s="2" t="s">
        <v>33</v>
      </c>
      <c r="F81" s="2" t="s">
        <v>171</v>
      </c>
      <c r="G81" s="4">
        <v>50</v>
      </c>
      <c r="P81" s="4">
        <v>100</v>
      </c>
      <c r="Q81" s="4">
        <v>100</v>
      </c>
      <c r="T81" s="4">
        <f t="shared" si="6"/>
        <v>250</v>
      </c>
      <c r="U81" s="36">
        <f>IF(Table2[[#This Row],[Nazwisko]]="","",IF(AND(D81="Nie",E81="Nie"),0,IF(AND(D81="Tak",E81="Nie"),Podsumowanie!$B$19,Podsumowanie!$C$19)))</f>
        <v>430</v>
      </c>
      <c r="V81" s="4">
        <f t="shared" si="4"/>
        <v>-180</v>
      </c>
      <c r="W81" s="55" t="str">
        <f t="shared" si="5"/>
        <v>NOK</v>
      </c>
      <c r="X81" s="4"/>
      <c r="Z81" s="4" t="str">
        <f>Table2[[#This Row],[Nazwisko]]&amp;Table2[[#This Row],[Imię]]</f>
        <v>DryjaKlaudia</v>
      </c>
      <c r="AA81" s="2">
        <f>COUNTIF(Z81:$Z$275,Z81)</f>
        <v>1</v>
      </c>
    </row>
    <row r="82" spans="1:27">
      <c r="A82" s="4" t="s">
        <v>172</v>
      </c>
      <c r="B82" s="4" t="s">
        <v>173</v>
      </c>
      <c r="C82" s="2" t="s">
        <v>87</v>
      </c>
      <c r="D82" s="2" t="s">
        <v>27</v>
      </c>
      <c r="E82" s="2" t="s">
        <v>33</v>
      </c>
      <c r="G82" s="4">
        <v>50</v>
      </c>
      <c r="P82" s="4">
        <v>100</v>
      </c>
      <c r="Q82" s="4">
        <v>100</v>
      </c>
      <c r="T82" s="4">
        <f t="shared" si="6"/>
        <v>250</v>
      </c>
      <c r="U82" s="36">
        <f>IF(Table2[[#This Row],[Nazwisko]]="","",IF(AND(D82="Nie",E82="Nie"),0,IF(AND(D82="Tak",E82="Nie"),Podsumowanie!$B$19,Podsumowanie!$C$19)))</f>
        <v>430</v>
      </c>
      <c r="V82" s="4">
        <f t="shared" si="4"/>
        <v>-180</v>
      </c>
      <c r="W82" s="55" t="str">
        <f t="shared" si="5"/>
        <v>NOK</v>
      </c>
      <c r="X82" s="4"/>
      <c r="Z82" s="4" t="str">
        <f>Table2[[#This Row],[Nazwisko]]&amp;Table2[[#This Row],[Imię]]</f>
        <v>PasakFilip</v>
      </c>
      <c r="AA82" s="2">
        <f>COUNTIF(Z82:$Z$275,Z82)</f>
        <v>1</v>
      </c>
    </row>
    <row r="83" spans="1:27" hidden="1">
      <c r="A83" s="4" t="s">
        <v>174</v>
      </c>
      <c r="B83" s="4" t="s">
        <v>59</v>
      </c>
      <c r="C83" s="2" t="s">
        <v>26</v>
      </c>
      <c r="D83" s="2" t="s">
        <v>27</v>
      </c>
      <c r="E83" s="2" t="s">
        <v>27</v>
      </c>
      <c r="G83" s="4">
        <v>50</v>
      </c>
      <c r="T83" s="4">
        <f t="shared" si="6"/>
        <v>50</v>
      </c>
      <c r="U83" s="36">
        <f>IF(Table2[[#This Row],[Nazwisko]]="","",IF(AND(D83="Nie",E83="Nie"),0,IF(AND(D83="Tak",E83="Nie"),Podsumowanie!$B$19,Podsumowanie!$C$19)))</f>
        <v>700</v>
      </c>
      <c r="V83" s="4">
        <f t="shared" si="4"/>
        <v>-650</v>
      </c>
      <c r="W83" s="55" t="str">
        <f t="shared" si="5"/>
        <v>NOK</v>
      </c>
      <c r="X83" s="4"/>
      <c r="Z83" s="4" t="str">
        <f>Table2[[#This Row],[Nazwisko]]&amp;Table2[[#This Row],[Imię]]</f>
        <v>WieczorekNatalia</v>
      </c>
      <c r="AA83" s="2">
        <f>COUNTIF(Z83:$Z$275,Z83)</f>
        <v>1</v>
      </c>
    </row>
    <row r="84" spans="1:27" hidden="1">
      <c r="A84" s="4" t="s">
        <v>175</v>
      </c>
      <c r="B84" s="4" t="s">
        <v>65</v>
      </c>
      <c r="C84" s="2" t="s">
        <v>113</v>
      </c>
      <c r="D84" s="2" t="s">
        <v>27</v>
      </c>
      <c r="E84" s="2" t="s">
        <v>27</v>
      </c>
      <c r="F84" s="2" t="s">
        <v>176</v>
      </c>
      <c r="G84" s="4">
        <v>50</v>
      </c>
      <c r="T84" s="4">
        <f t="shared" si="6"/>
        <v>50</v>
      </c>
      <c r="U84" s="36">
        <f>IF(Table2[[#This Row],[Nazwisko]]="","",IF(AND(D84="Nie",E84="Nie"),0,IF(AND(D84="Tak",E84="Nie"),Podsumowanie!$B$19,Podsumowanie!$C$19)))</f>
        <v>700</v>
      </c>
      <c r="V84" s="4">
        <f t="shared" si="4"/>
        <v>-650</v>
      </c>
      <c r="W84" s="55" t="str">
        <f t="shared" si="5"/>
        <v>NOK</v>
      </c>
      <c r="X84" s="4"/>
      <c r="Z84" s="4" t="str">
        <f>Table2[[#This Row],[Nazwisko]]&amp;Table2[[#This Row],[Imię]]</f>
        <v>BalickaNikola</v>
      </c>
      <c r="AA84" s="2">
        <f>COUNTIF(Z84:$Z$275,Z84)</f>
        <v>1</v>
      </c>
    </row>
    <row r="85" spans="1:27" hidden="1">
      <c r="A85" s="4" t="s">
        <v>86</v>
      </c>
      <c r="B85" s="4" t="s">
        <v>78</v>
      </c>
      <c r="C85" s="2" t="s">
        <v>113</v>
      </c>
      <c r="D85" s="2" t="s">
        <v>27</v>
      </c>
      <c r="E85" s="2" t="s">
        <v>33</v>
      </c>
      <c r="F85" s="2" t="s">
        <v>117</v>
      </c>
      <c r="G85" s="4">
        <v>50</v>
      </c>
      <c r="T85" s="4">
        <f t="shared" si="6"/>
        <v>50</v>
      </c>
      <c r="U85" s="36">
        <f>IF(Table2[[#This Row],[Nazwisko]]="","",IF(AND(D85="Nie",E85="Nie"),0,IF(AND(D85="Tak",E85="Nie"),Podsumowanie!$B$19,Podsumowanie!$C$19)))</f>
        <v>430</v>
      </c>
      <c r="V85" s="4">
        <f t="shared" si="4"/>
        <v>-380</v>
      </c>
      <c r="W85" s="55" t="str">
        <f t="shared" si="5"/>
        <v>NOK</v>
      </c>
      <c r="X85" s="4"/>
      <c r="Z85" s="4" t="str">
        <f>Table2[[#This Row],[Nazwisko]]&amp;Table2[[#This Row],[Imię]]</f>
        <v>KowalczykZuzanna</v>
      </c>
      <c r="AA85" s="2">
        <f>COUNTIF(Z85:$Z$275,Z85)</f>
        <v>1</v>
      </c>
    </row>
    <row r="86" spans="1:27" hidden="1">
      <c r="A86" s="4" t="s">
        <v>177</v>
      </c>
      <c r="B86" s="4" t="s">
        <v>178</v>
      </c>
      <c r="C86" s="2" t="s">
        <v>179</v>
      </c>
      <c r="D86" s="2" t="s">
        <v>27</v>
      </c>
      <c r="E86" s="2" t="s">
        <v>27</v>
      </c>
      <c r="G86" s="4">
        <v>50</v>
      </c>
      <c r="K86" s="4">
        <v>100</v>
      </c>
      <c r="L86" s="4">
        <v>100</v>
      </c>
      <c r="M86" s="4">
        <v>100</v>
      </c>
      <c r="P86" s="4">
        <v>100</v>
      </c>
      <c r="T86" s="4">
        <f t="shared" si="6"/>
        <v>450</v>
      </c>
      <c r="U86" s="36">
        <f>IF(Table2[[#This Row],[Nazwisko]]="","",IF(AND(D86="Nie",E86="Nie"),0,IF(AND(D86="Tak",E86="Nie"),Podsumowanie!$B$19,Podsumowanie!$C$19)))</f>
        <v>700</v>
      </c>
      <c r="V86" s="4">
        <f t="shared" si="4"/>
        <v>-250</v>
      </c>
      <c r="W86" s="55" t="str">
        <f t="shared" si="5"/>
        <v>NOK</v>
      </c>
      <c r="X86" s="4"/>
      <c r="Z86" s="4" t="str">
        <f>Table2[[#This Row],[Nazwisko]]&amp;Table2[[#This Row],[Imię]]</f>
        <v>WoldanAntoni</v>
      </c>
      <c r="AA86" s="2">
        <f>COUNTIF(Z86:$Z$275,Z86)</f>
        <v>1</v>
      </c>
    </row>
    <row r="87" spans="1:27" hidden="1">
      <c r="A87" s="4" t="s">
        <v>180</v>
      </c>
      <c r="B87" s="4" t="s">
        <v>76</v>
      </c>
      <c r="C87" s="2" t="s">
        <v>113</v>
      </c>
      <c r="D87" s="2" t="s">
        <v>27</v>
      </c>
      <c r="E87" s="2" t="s">
        <v>33</v>
      </c>
      <c r="G87" s="4">
        <v>50</v>
      </c>
      <c r="T87" s="4">
        <f t="shared" si="6"/>
        <v>50</v>
      </c>
      <c r="U87" s="36">
        <f>IF(Table2[[#This Row],[Nazwisko]]="","",IF(AND(D87="Nie",E87="Nie"),0,IF(AND(D87="Tak",E87="Nie"),Podsumowanie!$B$19,Podsumowanie!$C$19)))</f>
        <v>430</v>
      </c>
      <c r="V87" s="4">
        <f t="shared" si="4"/>
        <v>-380</v>
      </c>
      <c r="W87" s="55" t="str">
        <f t="shared" si="5"/>
        <v>NOK</v>
      </c>
      <c r="X87" s="4"/>
      <c r="Z87" s="4" t="str">
        <f>Table2[[#This Row],[Nazwisko]]&amp;Table2[[#This Row],[Imię]]</f>
        <v>PokropskiMaciej</v>
      </c>
      <c r="AA87" s="2">
        <f>COUNTIF(Z87:$Z$275,Z87)</f>
        <v>1</v>
      </c>
    </row>
    <row r="88" spans="1:27" hidden="1">
      <c r="A88" s="4" t="s">
        <v>181</v>
      </c>
      <c r="B88" s="4" t="s">
        <v>182</v>
      </c>
      <c r="C88" s="2" t="s">
        <v>32</v>
      </c>
      <c r="D88" s="2" t="s">
        <v>27</v>
      </c>
      <c r="E88" s="2" t="s">
        <v>33</v>
      </c>
      <c r="G88" s="4">
        <v>50</v>
      </c>
      <c r="Q88" s="4">
        <v>200</v>
      </c>
      <c r="T88" s="4">
        <f t="shared" si="6"/>
        <v>250</v>
      </c>
      <c r="U88" s="36">
        <f>IF(Table2[[#This Row],[Nazwisko]]="","",IF(AND(D88="Nie",E88="Nie"),0,IF(AND(D88="Tak",E88="Nie"),Podsumowanie!$B$19,Podsumowanie!$C$19)))</f>
        <v>430</v>
      </c>
      <c r="V88" s="4">
        <f t="shared" si="4"/>
        <v>-180</v>
      </c>
      <c r="W88" s="55" t="str">
        <f t="shared" si="5"/>
        <v>NOK</v>
      </c>
      <c r="X88" s="4"/>
      <c r="Z88" s="4" t="str">
        <f>Table2[[#This Row],[Nazwisko]]&amp;Table2[[#This Row],[Imię]]</f>
        <v>OrzechowskiRafał</v>
      </c>
      <c r="AA88" s="2">
        <f>COUNTIF(Z88:$Z$275,Z88)</f>
        <v>1</v>
      </c>
    </row>
    <row r="89" spans="1:27" hidden="1">
      <c r="A89" s="4" t="s">
        <v>183</v>
      </c>
      <c r="B89" s="4" t="s">
        <v>59</v>
      </c>
      <c r="C89" s="2" t="s">
        <v>53</v>
      </c>
      <c r="D89" s="2" t="s">
        <v>27</v>
      </c>
      <c r="E89" s="2" t="s">
        <v>27</v>
      </c>
      <c r="G89" s="4">
        <v>50</v>
      </c>
      <c r="Q89" s="4">
        <v>200</v>
      </c>
      <c r="T89" s="4">
        <f t="shared" si="6"/>
        <v>250</v>
      </c>
      <c r="U89" s="36">
        <f>IF(Table2[[#This Row],[Nazwisko]]="","",IF(AND(D89="Nie",E89="Nie"),0,IF(AND(D89="Tak",E89="Nie"),Podsumowanie!$B$19,Podsumowanie!$C$19)))</f>
        <v>700</v>
      </c>
      <c r="V89" s="4">
        <f t="shared" si="4"/>
        <v>-450</v>
      </c>
      <c r="W89" s="55" t="str">
        <f t="shared" si="5"/>
        <v>NOK</v>
      </c>
      <c r="X89" s="4"/>
      <c r="Z89" s="4" t="str">
        <f>Table2[[#This Row],[Nazwisko]]&amp;Table2[[#This Row],[Imię]]</f>
        <v>KarbownikNatalia</v>
      </c>
      <c r="AA89" s="2">
        <f>COUNTIF(Z89:$Z$275,Z89)</f>
        <v>1</v>
      </c>
    </row>
    <row r="90" spans="1:27" hidden="1">
      <c r="A90" s="4" t="s">
        <v>184</v>
      </c>
      <c r="B90" s="4" t="s">
        <v>185</v>
      </c>
      <c r="C90" s="2" t="s">
        <v>53</v>
      </c>
      <c r="D90" s="2" t="s">
        <v>27</v>
      </c>
      <c r="E90" s="2" t="s">
        <v>27</v>
      </c>
      <c r="G90" s="4">
        <v>50</v>
      </c>
      <c r="Q90" s="4">
        <v>100</v>
      </c>
      <c r="T90" s="4">
        <f t="shared" si="6"/>
        <v>150</v>
      </c>
      <c r="U90" s="36">
        <f>IF(Table2[[#This Row],[Nazwisko]]="","",IF(AND(D90="Nie",E90="Nie"),0,IF(AND(D90="Tak",E90="Nie"),Podsumowanie!$B$19,Podsumowanie!$C$19)))</f>
        <v>700</v>
      </c>
      <c r="V90" s="4">
        <f t="shared" si="4"/>
        <v>-550</v>
      </c>
      <c r="W90" s="55" t="str">
        <f t="shared" si="5"/>
        <v>NOK</v>
      </c>
      <c r="X90" s="4"/>
      <c r="Z90" s="4" t="str">
        <f>Table2[[#This Row],[Nazwisko]]&amp;Table2[[#This Row],[Imię]]</f>
        <v>PokoraNadia</v>
      </c>
      <c r="AA90" s="2">
        <f>COUNTIF(Z90:$Z$275,Z90)</f>
        <v>1</v>
      </c>
    </row>
    <row r="91" spans="1:27" hidden="1">
      <c r="A91" s="4" t="s">
        <v>186</v>
      </c>
      <c r="B91" s="4" t="s">
        <v>170</v>
      </c>
      <c r="C91" s="2" t="s">
        <v>53</v>
      </c>
      <c r="D91" s="2" t="s">
        <v>27</v>
      </c>
      <c r="E91" s="2" t="s">
        <v>27</v>
      </c>
      <c r="G91" s="4">
        <v>50</v>
      </c>
      <c r="Q91" s="4">
        <v>200</v>
      </c>
      <c r="T91" s="4">
        <f t="shared" si="6"/>
        <v>250</v>
      </c>
      <c r="U91" s="36">
        <f>IF(Table2[[#This Row],[Nazwisko]]="","",IF(AND(D91="Nie",E91="Nie"),0,IF(AND(D91="Tak",E91="Nie"),Podsumowanie!$B$19,Podsumowanie!$C$19)))</f>
        <v>700</v>
      </c>
      <c r="V91" s="4">
        <f t="shared" si="4"/>
        <v>-450</v>
      </c>
      <c r="W91" s="55" t="str">
        <f t="shared" si="5"/>
        <v>NOK</v>
      </c>
      <c r="X91" s="4"/>
      <c r="Z91" s="4" t="str">
        <f>Table2[[#This Row],[Nazwisko]]&amp;Table2[[#This Row],[Imię]]</f>
        <v>ZakrzewskaKlaudia</v>
      </c>
      <c r="AA91" s="2">
        <f>COUNTIF(Z91:$Z$275,Z91)</f>
        <v>1</v>
      </c>
    </row>
    <row r="92" spans="1:27" hidden="1">
      <c r="A92" s="117" t="s">
        <v>187</v>
      </c>
      <c r="B92" s="4" t="s">
        <v>127</v>
      </c>
      <c r="C92" s="2" t="s">
        <v>188</v>
      </c>
      <c r="D92" s="2" t="s">
        <v>27</v>
      </c>
      <c r="E92" s="2" t="s">
        <v>27</v>
      </c>
      <c r="G92" s="4">
        <v>50</v>
      </c>
      <c r="K92" s="4">
        <v>100</v>
      </c>
      <c r="L92" s="4">
        <v>100</v>
      </c>
      <c r="T92" s="4">
        <f t="shared" si="6"/>
        <v>250</v>
      </c>
      <c r="U92" s="36">
        <f>IF(Table2[[#This Row],[Nazwisko]]="","",IF(AND(D92="Nie",E92="Nie"),0,IF(AND(D92="Tak",E92="Nie"),Podsumowanie!$B$19,Podsumowanie!$C$19)))</f>
        <v>700</v>
      </c>
      <c r="V92" s="4">
        <f t="shared" si="4"/>
        <v>-450</v>
      </c>
      <c r="W92" s="55" t="str">
        <f t="shared" si="5"/>
        <v>NOK</v>
      </c>
      <c r="X92" s="4"/>
      <c r="Z92" s="4" t="str">
        <f>Table2[[#This Row],[Nazwisko]]&amp;Table2[[#This Row],[Imię]]</f>
        <v>KukiełkaKacper</v>
      </c>
      <c r="AA92" s="2">
        <f>COUNTIF(Z92:$Z$275,Z92)</f>
        <v>1</v>
      </c>
    </row>
    <row r="93" spans="1:27" hidden="1">
      <c r="A93" s="117" t="s">
        <v>110</v>
      </c>
      <c r="B93" s="4" t="s">
        <v>59</v>
      </c>
      <c r="C93" s="2" t="s">
        <v>188</v>
      </c>
      <c r="D93" s="2" t="s">
        <v>27</v>
      </c>
      <c r="E93" s="2" t="s">
        <v>27</v>
      </c>
      <c r="G93" s="4">
        <v>50</v>
      </c>
      <c r="K93" s="4">
        <v>100</v>
      </c>
      <c r="L93" s="4">
        <v>100</v>
      </c>
      <c r="T93" s="4">
        <f t="shared" si="6"/>
        <v>250</v>
      </c>
      <c r="U93" s="36">
        <f>IF(Table2[[#This Row],[Nazwisko]]="","",IF(AND(D93="Nie",E93="Nie"),0,IF(AND(D93="Tak",E93="Nie"),Podsumowanie!$B$19,Podsumowanie!$C$19)))</f>
        <v>700</v>
      </c>
      <c r="V93" s="4">
        <f t="shared" si="4"/>
        <v>-450</v>
      </c>
      <c r="W93" s="55" t="str">
        <f t="shared" si="5"/>
        <v>NOK</v>
      </c>
      <c r="X93" s="4"/>
      <c r="Z93" s="4" t="str">
        <f>Table2[[#This Row],[Nazwisko]]&amp;Table2[[#This Row],[Imię]]</f>
        <v>GębiczNatalia</v>
      </c>
      <c r="AA93" s="2">
        <f>COUNTIF(Z93:$Z$275,Z93)</f>
        <v>1</v>
      </c>
    </row>
    <row r="94" spans="1:27" hidden="1">
      <c r="A94" s="117" t="s">
        <v>189</v>
      </c>
      <c r="B94" s="4" t="s">
        <v>80</v>
      </c>
      <c r="C94" s="2" t="s">
        <v>188</v>
      </c>
      <c r="D94" s="2" t="s">
        <v>27</v>
      </c>
      <c r="E94" s="2" t="s">
        <v>27</v>
      </c>
      <c r="G94" s="4">
        <v>50</v>
      </c>
      <c r="K94" s="4">
        <v>100</v>
      </c>
      <c r="L94" s="4">
        <v>100</v>
      </c>
      <c r="T94" s="4">
        <f t="shared" si="6"/>
        <v>250</v>
      </c>
      <c r="U94" s="36">
        <f>IF(Table2[[#This Row],[Nazwisko]]="","",IF(AND(D94="Nie",E94="Nie"),0,IF(AND(D94="Tak",E94="Nie"),Podsumowanie!$B$19,Podsumowanie!$C$19)))</f>
        <v>700</v>
      </c>
      <c r="V94" s="4">
        <f t="shared" si="4"/>
        <v>-450</v>
      </c>
      <c r="W94" s="55" t="str">
        <f t="shared" si="5"/>
        <v>NOK</v>
      </c>
      <c r="X94" s="4"/>
      <c r="Z94" s="4" t="str">
        <f>Table2[[#This Row],[Nazwisko]]&amp;Table2[[#This Row],[Imię]]</f>
        <v>RogulskiSzymon</v>
      </c>
      <c r="AA94" s="2">
        <f>COUNTIF(Z94:$Z$275,Z94)</f>
        <v>1</v>
      </c>
    </row>
    <row r="95" spans="1:27" hidden="1">
      <c r="A95" s="117" t="s">
        <v>190</v>
      </c>
      <c r="B95" s="4" t="s">
        <v>42</v>
      </c>
      <c r="C95" s="2" t="s">
        <v>188</v>
      </c>
      <c r="D95" s="2" t="s">
        <v>27</v>
      </c>
      <c r="E95" s="2" t="s">
        <v>27</v>
      </c>
      <c r="G95" s="4">
        <v>50</v>
      </c>
      <c r="K95" s="4">
        <v>100</v>
      </c>
      <c r="L95" s="4">
        <v>100</v>
      </c>
      <c r="T95" s="4">
        <f t="shared" si="6"/>
        <v>250</v>
      </c>
      <c r="U95" s="36">
        <f>IF(Table2[[#This Row],[Nazwisko]]="","",IF(AND(D95="Nie",E95="Nie"),0,IF(AND(D95="Tak",E95="Nie"),Podsumowanie!$B$19,Podsumowanie!$C$19)))</f>
        <v>700</v>
      </c>
      <c r="V95" s="4">
        <f t="shared" si="4"/>
        <v>-450</v>
      </c>
      <c r="W95" s="55" t="str">
        <f t="shared" si="5"/>
        <v>NOK</v>
      </c>
      <c r="X95" s="4"/>
      <c r="Z95" s="4" t="str">
        <f>Table2[[#This Row],[Nazwisko]]&amp;Table2[[#This Row],[Imię]]</f>
        <v>ZbrojaAlan</v>
      </c>
      <c r="AA95" s="2">
        <f>COUNTIF(Z95:$Z$275,Z95)</f>
        <v>1</v>
      </c>
    </row>
    <row r="96" spans="1:27" hidden="1">
      <c r="A96" s="117" t="s">
        <v>191</v>
      </c>
      <c r="B96" s="4" t="s">
        <v>95</v>
      </c>
      <c r="C96" s="2" t="s">
        <v>188</v>
      </c>
      <c r="D96" s="2" t="s">
        <v>27</v>
      </c>
      <c r="E96" s="2" t="s">
        <v>27</v>
      </c>
      <c r="G96" s="4">
        <v>50</v>
      </c>
      <c r="K96" s="4">
        <v>100</v>
      </c>
      <c r="L96" s="4">
        <v>100</v>
      </c>
      <c r="T96" s="4">
        <f t="shared" si="6"/>
        <v>250</v>
      </c>
      <c r="U96" s="36">
        <f>IF(Table2[[#This Row],[Nazwisko]]="","",IF(AND(D96="Nie",E96="Nie"),0,IF(AND(D96="Tak",E96="Nie"),Podsumowanie!$B$19,Podsumowanie!$C$19)))</f>
        <v>700</v>
      </c>
      <c r="V96" s="4">
        <f t="shared" si="4"/>
        <v>-450</v>
      </c>
      <c r="W96" s="55" t="str">
        <f t="shared" si="5"/>
        <v>NOK</v>
      </c>
      <c r="X96" s="4"/>
      <c r="Z96" s="4" t="str">
        <f>Table2[[#This Row],[Nazwisko]]&amp;Table2[[#This Row],[Imię]]</f>
        <v>FamulskaMilena</v>
      </c>
      <c r="AA96" s="2">
        <f>COUNTIF(Z96:$Z$275,Z96)</f>
        <v>1</v>
      </c>
    </row>
    <row r="97" spans="1:27" hidden="1">
      <c r="A97" s="117" t="s">
        <v>154</v>
      </c>
      <c r="B97" s="4" t="s">
        <v>192</v>
      </c>
      <c r="C97" s="2" t="s">
        <v>188</v>
      </c>
      <c r="D97" s="2" t="s">
        <v>27</v>
      </c>
      <c r="E97" s="2" t="s">
        <v>27</v>
      </c>
      <c r="G97" s="4">
        <v>50</v>
      </c>
      <c r="K97" s="4">
        <v>100</v>
      </c>
      <c r="L97" s="4">
        <v>100</v>
      </c>
      <c r="T97" s="4">
        <f t="shared" si="6"/>
        <v>250</v>
      </c>
      <c r="U97" s="36">
        <f>IF(Table2[[#This Row],[Nazwisko]]="","",IF(AND(D97="Nie",E97="Nie"),0,IF(AND(D97="Tak",E97="Nie"),Podsumowanie!$B$19,Podsumowanie!$C$19)))</f>
        <v>700</v>
      </c>
      <c r="V97" s="4">
        <f t="shared" si="4"/>
        <v>-450</v>
      </c>
      <c r="W97" s="55" t="str">
        <f t="shared" si="5"/>
        <v>NOK</v>
      </c>
      <c r="X97" s="4"/>
      <c r="Z97" s="4" t="str">
        <f>Table2[[#This Row],[Nazwisko]]&amp;Table2[[#This Row],[Imię]]</f>
        <v>MielczarekJulian</v>
      </c>
      <c r="AA97" s="2">
        <f>COUNTIF(Z97:$Z$275,Z97)</f>
        <v>1</v>
      </c>
    </row>
    <row r="98" spans="1:27" hidden="1">
      <c r="A98" s="117" t="s">
        <v>193</v>
      </c>
      <c r="B98" s="4" t="s">
        <v>39</v>
      </c>
      <c r="C98" s="2" t="s">
        <v>188</v>
      </c>
      <c r="D98" s="2" t="s">
        <v>27</v>
      </c>
      <c r="E98" s="2" t="s">
        <v>27</v>
      </c>
      <c r="G98" s="4">
        <v>50</v>
      </c>
      <c r="K98" s="4">
        <v>100</v>
      </c>
      <c r="L98" s="4">
        <v>100</v>
      </c>
      <c r="T98" s="4">
        <f t="shared" si="6"/>
        <v>250</v>
      </c>
      <c r="U98" s="36">
        <f>IF(Table2[[#This Row],[Nazwisko]]="","",IF(AND(D98="Nie",E98="Nie"),0,IF(AND(D98="Tak",E98="Nie"),Podsumowanie!$B$19,Podsumowanie!$C$19)))</f>
        <v>700</v>
      </c>
      <c r="V98" s="4">
        <f t="shared" si="4"/>
        <v>-450</v>
      </c>
      <c r="W98" s="55" t="str">
        <f t="shared" si="5"/>
        <v>NOK</v>
      </c>
      <c r="X98" s="4"/>
      <c r="Z98" s="4" t="str">
        <f>Table2[[#This Row],[Nazwisko]]&amp;Table2[[#This Row],[Imię]]</f>
        <v>KoperskaLena</v>
      </c>
      <c r="AA98" s="2">
        <f>COUNTIF(Z98:$Z$275,Z98)</f>
        <v>1</v>
      </c>
    </row>
    <row r="99" spans="1:27" hidden="1">
      <c r="A99" s="117" t="s">
        <v>194</v>
      </c>
      <c r="B99" s="4" t="s">
        <v>195</v>
      </c>
      <c r="C99" s="2" t="s">
        <v>188</v>
      </c>
      <c r="D99" s="2" t="s">
        <v>27</v>
      </c>
      <c r="E99" s="2" t="s">
        <v>27</v>
      </c>
      <c r="G99" s="4">
        <v>50</v>
      </c>
      <c r="K99" s="4">
        <v>100</v>
      </c>
      <c r="L99" s="4">
        <v>100</v>
      </c>
      <c r="T99" s="4">
        <f t="shared" si="6"/>
        <v>250</v>
      </c>
      <c r="U99" s="36">
        <f>IF(Table2[[#This Row],[Nazwisko]]="","",IF(AND(D99="Nie",E99="Nie"),0,IF(AND(D99="Tak",E99="Nie"),Podsumowanie!$B$19,Podsumowanie!$C$19)))</f>
        <v>700</v>
      </c>
      <c r="V99" s="4">
        <f t="shared" si="4"/>
        <v>-450</v>
      </c>
      <c r="W99" s="55" t="str">
        <f t="shared" si="5"/>
        <v>NOK</v>
      </c>
      <c r="X99" s="4"/>
      <c r="Z99" s="4" t="str">
        <f>Table2[[#This Row],[Nazwisko]]&amp;Table2[[#This Row],[Imię]]</f>
        <v>DratwaHanna</v>
      </c>
      <c r="AA99" s="2">
        <f>COUNTIF(Z99:$Z$275,Z99)</f>
        <v>1</v>
      </c>
    </row>
    <row r="100" spans="1:27" hidden="1">
      <c r="A100" s="117" t="s">
        <v>196</v>
      </c>
      <c r="B100" s="4" t="s">
        <v>197</v>
      </c>
      <c r="C100" s="2" t="s">
        <v>188</v>
      </c>
      <c r="D100" s="2" t="s">
        <v>27</v>
      </c>
      <c r="E100" s="2" t="s">
        <v>27</v>
      </c>
      <c r="G100" s="4">
        <v>50</v>
      </c>
      <c r="K100" s="4">
        <v>100</v>
      </c>
      <c r="L100" s="4">
        <v>100</v>
      </c>
      <c r="T100" s="4">
        <f t="shared" si="6"/>
        <v>250</v>
      </c>
      <c r="U100" s="36">
        <f>IF(Table2[[#This Row],[Nazwisko]]="","",IF(AND(D100="Nie",E100="Nie"),0,IF(AND(D100="Tak",E100="Nie"),Podsumowanie!$B$19,Podsumowanie!$C$19)))</f>
        <v>700</v>
      </c>
      <c r="V100" s="4">
        <f t="shared" si="4"/>
        <v>-450</v>
      </c>
      <c r="W100" s="55" t="str">
        <f t="shared" si="5"/>
        <v>NOK</v>
      </c>
      <c r="X100" s="4"/>
      <c r="Z100" s="4" t="str">
        <f>Table2[[#This Row],[Nazwisko]]&amp;Table2[[#This Row],[Imię]]</f>
        <v>ZaskórskiBartek</v>
      </c>
      <c r="AA100" s="2">
        <f>COUNTIF(Z100:$Z$275,Z100)</f>
        <v>1</v>
      </c>
    </row>
    <row r="101" spans="1:27" hidden="1">
      <c r="A101" s="117" t="s">
        <v>198</v>
      </c>
      <c r="B101" s="4" t="s">
        <v>199</v>
      </c>
      <c r="C101" s="2" t="s">
        <v>188</v>
      </c>
      <c r="D101" s="2" t="s">
        <v>27</v>
      </c>
      <c r="E101" s="2" t="s">
        <v>27</v>
      </c>
      <c r="G101" s="4">
        <v>50</v>
      </c>
      <c r="K101" s="4">
        <v>100</v>
      </c>
      <c r="L101" s="4">
        <v>100</v>
      </c>
      <c r="T101" s="4">
        <f t="shared" si="6"/>
        <v>250</v>
      </c>
      <c r="U101" s="36">
        <f>IF(Table2[[#This Row],[Nazwisko]]="","",IF(AND(D101="Nie",E101="Nie"),0,IF(AND(D101="Tak",E101="Nie"),Podsumowanie!$B$19,Podsumowanie!$C$19)))</f>
        <v>700</v>
      </c>
      <c r="V101" s="4">
        <f t="shared" si="4"/>
        <v>-450</v>
      </c>
      <c r="W101" s="55" t="str">
        <f t="shared" si="5"/>
        <v>NOK</v>
      </c>
      <c r="X101" s="4"/>
      <c r="Z101" s="4" t="str">
        <f>Table2[[#This Row],[Nazwisko]]&amp;Table2[[#This Row],[Imię]]</f>
        <v>SkóraNatasza</v>
      </c>
      <c r="AA101" s="2">
        <f>COUNTIF(Z101:$Z$275,Z101)</f>
        <v>1</v>
      </c>
    </row>
    <row r="102" spans="1:27" hidden="1">
      <c r="A102" s="117" t="s">
        <v>200</v>
      </c>
      <c r="B102" s="4" t="s">
        <v>57</v>
      </c>
      <c r="C102" s="2" t="s">
        <v>188</v>
      </c>
      <c r="D102" s="2" t="s">
        <v>27</v>
      </c>
      <c r="E102" s="2" t="s">
        <v>27</v>
      </c>
      <c r="G102" s="4">
        <v>50</v>
      </c>
      <c r="K102" s="4">
        <v>100</v>
      </c>
      <c r="L102" s="4">
        <v>100</v>
      </c>
      <c r="T102" s="4">
        <f t="shared" si="6"/>
        <v>250</v>
      </c>
      <c r="U102" s="36">
        <f>IF(Table2[[#This Row],[Nazwisko]]="","",IF(AND(D102="Nie",E102="Nie"),0,IF(AND(D102="Tak",E102="Nie"),Podsumowanie!$B$19,Podsumowanie!$C$19)))</f>
        <v>700</v>
      </c>
      <c r="V102" s="4">
        <f t="shared" si="4"/>
        <v>-450</v>
      </c>
      <c r="W102" s="55" t="str">
        <f t="shared" si="5"/>
        <v>NOK</v>
      </c>
      <c r="X102" s="4"/>
      <c r="Z102" s="4" t="str">
        <f>Table2[[#This Row],[Nazwisko]]&amp;Table2[[#This Row],[Imię]]</f>
        <v>KałużaOliwia</v>
      </c>
      <c r="AA102" s="2">
        <f>COUNTIF(Z102:$Z$275,Z102)</f>
        <v>1</v>
      </c>
    </row>
    <row r="103" spans="1:27" hidden="1">
      <c r="A103" s="117" t="s">
        <v>201</v>
      </c>
      <c r="B103" s="4" t="s">
        <v>202</v>
      </c>
      <c r="C103" s="2" t="s">
        <v>188</v>
      </c>
      <c r="D103" s="2" t="s">
        <v>27</v>
      </c>
      <c r="E103" s="2" t="s">
        <v>27</v>
      </c>
      <c r="G103" s="4">
        <v>50</v>
      </c>
      <c r="K103" s="4">
        <v>100</v>
      </c>
      <c r="L103" s="4">
        <v>100</v>
      </c>
      <c r="T103" s="4">
        <f t="shared" si="6"/>
        <v>250</v>
      </c>
      <c r="U103" s="36">
        <f>IF(Table2[[#This Row],[Nazwisko]]="","",IF(AND(D103="Nie",E103="Nie"),0,IF(AND(D103="Tak",E103="Nie"),Podsumowanie!$B$19,Podsumowanie!$C$19)))</f>
        <v>700</v>
      </c>
      <c r="V103" s="4">
        <f t="shared" si="4"/>
        <v>-450</v>
      </c>
      <c r="W103" s="55" t="str">
        <f t="shared" si="5"/>
        <v>NOK</v>
      </c>
      <c r="X103" s="4"/>
      <c r="Z103" s="4" t="str">
        <f>Table2[[#This Row],[Nazwisko]]&amp;Table2[[#This Row],[Imię]]</f>
        <v>RokselaKrzysztof</v>
      </c>
      <c r="AA103" s="2">
        <f>COUNTIF(Z103:$Z$275,Z103)</f>
        <v>1</v>
      </c>
    </row>
    <row r="104" spans="1:27" hidden="1">
      <c r="A104" s="117" t="s">
        <v>203</v>
      </c>
      <c r="B104" s="4" t="s">
        <v>204</v>
      </c>
      <c r="C104" s="2" t="s">
        <v>188</v>
      </c>
      <c r="D104" s="2" t="s">
        <v>27</v>
      </c>
      <c r="E104" s="2" t="s">
        <v>33</v>
      </c>
      <c r="G104" s="4">
        <v>50</v>
      </c>
      <c r="K104" s="4">
        <v>100</v>
      </c>
      <c r="L104" s="4">
        <v>100</v>
      </c>
      <c r="M104" s="4">
        <v>100</v>
      </c>
      <c r="T104" s="4">
        <f t="shared" si="6"/>
        <v>350</v>
      </c>
      <c r="U104" s="36">
        <f>IF(Table2[[#This Row],[Nazwisko]]="","",IF(AND(D104="Nie",E104="Nie"),0,IF(AND(D104="Tak",E104="Nie"),Podsumowanie!$B$19,Podsumowanie!$C$19)))</f>
        <v>430</v>
      </c>
      <c r="V104" s="4">
        <f t="shared" si="4"/>
        <v>-80</v>
      </c>
      <c r="W104" s="55" t="str">
        <f t="shared" si="5"/>
        <v>NOK</v>
      </c>
      <c r="X104" s="4"/>
      <c r="Z104" s="4" t="str">
        <f>Table2[[#This Row],[Nazwisko]]&amp;Table2[[#This Row],[Imię]]</f>
        <v>MądryMichał</v>
      </c>
      <c r="AA104" s="2">
        <f>COUNTIF(Z104:$Z$275,Z104)</f>
        <v>1</v>
      </c>
    </row>
    <row r="105" spans="1:27" hidden="1">
      <c r="A105" s="117" t="s">
        <v>205</v>
      </c>
      <c r="B105" s="4" t="s">
        <v>206</v>
      </c>
      <c r="C105" s="2" t="s">
        <v>188</v>
      </c>
      <c r="D105" s="2" t="s">
        <v>27</v>
      </c>
      <c r="E105" s="2" t="s">
        <v>27</v>
      </c>
      <c r="G105" s="4">
        <v>50</v>
      </c>
      <c r="K105" s="4">
        <v>100</v>
      </c>
      <c r="L105" s="4">
        <v>100</v>
      </c>
      <c r="T105" s="4">
        <f t="shared" si="6"/>
        <v>250</v>
      </c>
      <c r="U105" s="36">
        <f>IF(Table2[[#This Row],[Nazwisko]]="","",IF(AND(D105="Nie",E105="Nie"),0,IF(AND(D105="Tak",E105="Nie"),Podsumowanie!$B$19,Podsumowanie!$C$19)))</f>
        <v>700</v>
      </c>
      <c r="V105" s="4">
        <f t="shared" si="4"/>
        <v>-450</v>
      </c>
      <c r="W105" s="55" t="str">
        <f t="shared" si="5"/>
        <v>NOK</v>
      </c>
      <c r="X105" s="4"/>
      <c r="Z105" s="4" t="str">
        <f>Table2[[#This Row],[Nazwisko]]&amp;Table2[[#This Row],[Imię]]</f>
        <v>MachnikDominika</v>
      </c>
      <c r="AA105" s="2">
        <f>COUNTIF(Z105:$Z$275,Z105)</f>
        <v>1</v>
      </c>
    </row>
    <row r="106" spans="1:27" hidden="1">
      <c r="A106" s="117" t="s">
        <v>207</v>
      </c>
      <c r="B106" s="4" t="s">
        <v>208</v>
      </c>
      <c r="C106" s="2" t="s">
        <v>188</v>
      </c>
      <c r="D106" s="2" t="s">
        <v>27</v>
      </c>
      <c r="E106" s="2" t="s">
        <v>33</v>
      </c>
      <c r="G106" s="4">
        <v>50</v>
      </c>
      <c r="K106" s="4">
        <v>100</v>
      </c>
      <c r="L106" s="4">
        <v>100</v>
      </c>
      <c r="T106" s="4">
        <f t="shared" si="6"/>
        <v>250</v>
      </c>
      <c r="U106" s="36">
        <f>IF(Table2[[#This Row],[Nazwisko]]="","",IF(AND(D106="Nie",E106="Nie"),0,IF(AND(D106="Tak",E106="Nie"),Podsumowanie!$B$19,Podsumowanie!$C$19)))</f>
        <v>430</v>
      </c>
      <c r="V106" s="4">
        <f t="shared" si="4"/>
        <v>-180</v>
      </c>
      <c r="W106" s="55" t="str">
        <f t="shared" si="5"/>
        <v>NOK</v>
      </c>
      <c r="X106" s="4"/>
      <c r="Z106" s="4" t="str">
        <f>Table2[[#This Row],[Nazwisko]]&amp;Table2[[#This Row],[Imię]]</f>
        <v>BroszkiewiczMaya</v>
      </c>
      <c r="AA106" s="2">
        <f>COUNTIF(Z106:$Z$275,Z106)</f>
        <v>1</v>
      </c>
    </row>
    <row r="107" spans="1:27" hidden="1">
      <c r="A107" s="117" t="s">
        <v>209</v>
      </c>
      <c r="B107" s="4" t="s">
        <v>31</v>
      </c>
      <c r="C107" s="2" t="s">
        <v>188</v>
      </c>
      <c r="D107" s="2" t="s">
        <v>27</v>
      </c>
      <c r="E107" s="2" t="s">
        <v>27</v>
      </c>
      <c r="G107" s="4">
        <v>50</v>
      </c>
      <c r="K107" s="4">
        <v>100</v>
      </c>
      <c r="L107" s="4">
        <v>100</v>
      </c>
      <c r="T107" s="4">
        <f t="shared" si="6"/>
        <v>250</v>
      </c>
      <c r="U107" s="36">
        <f>IF(Table2[[#This Row],[Nazwisko]]="","",IF(AND(D107="Nie",E107="Nie"),0,IF(AND(D107="Tak",E107="Nie"),Podsumowanie!$B$19,Podsumowanie!$C$19)))</f>
        <v>700</v>
      </c>
      <c r="V107" s="4">
        <f t="shared" si="4"/>
        <v>-450</v>
      </c>
      <c r="W107" s="55" t="str">
        <f t="shared" si="5"/>
        <v>NOK</v>
      </c>
      <c r="X107" s="4"/>
      <c r="Z107" s="4" t="str">
        <f>Table2[[#This Row],[Nazwisko]]&amp;Table2[[#This Row],[Imię]]</f>
        <v>WojciechowskiMikołaj</v>
      </c>
      <c r="AA107" s="2">
        <f>COUNTIF(Z107:$Z$275,Z107)</f>
        <v>1</v>
      </c>
    </row>
    <row r="108" spans="1:27" hidden="1">
      <c r="A108" s="117" t="s">
        <v>210</v>
      </c>
      <c r="B108" s="4" t="s">
        <v>73</v>
      </c>
      <c r="C108" s="2" t="s">
        <v>188</v>
      </c>
      <c r="D108" s="2" t="s">
        <v>27</v>
      </c>
      <c r="E108" s="2" t="s">
        <v>27</v>
      </c>
      <c r="G108" s="4">
        <v>50</v>
      </c>
      <c r="K108" s="4">
        <v>100</v>
      </c>
      <c r="L108" s="4">
        <v>100</v>
      </c>
      <c r="T108" s="4">
        <f t="shared" si="6"/>
        <v>250</v>
      </c>
      <c r="U108" s="36">
        <f>IF(Table2[[#This Row],[Nazwisko]]="","",IF(AND(D108="Nie",E108="Nie"),0,IF(AND(D108="Tak",E108="Nie"),Podsumowanie!$B$19,Podsumowanie!$C$19)))</f>
        <v>700</v>
      </c>
      <c r="V108" s="4">
        <f t="shared" si="4"/>
        <v>-450</v>
      </c>
      <c r="W108" s="55" t="str">
        <f t="shared" si="5"/>
        <v>NOK</v>
      </c>
      <c r="X108" s="4"/>
      <c r="Z108" s="4" t="str">
        <f>Table2[[#This Row],[Nazwisko]]&amp;Table2[[#This Row],[Imię]]</f>
        <v>LesińskaJulia</v>
      </c>
      <c r="AA108" s="2">
        <f>COUNTIF(Z108:$Z$275,Z108)</f>
        <v>1</v>
      </c>
    </row>
    <row r="109" spans="1:27" hidden="1">
      <c r="A109" s="117" t="s">
        <v>211</v>
      </c>
      <c r="B109" s="4" t="s">
        <v>212</v>
      </c>
      <c r="C109" s="2" t="s">
        <v>188</v>
      </c>
      <c r="D109" s="2" t="s">
        <v>27</v>
      </c>
      <c r="E109" s="2" t="s">
        <v>27</v>
      </c>
      <c r="G109" s="4">
        <v>50</v>
      </c>
      <c r="K109" s="4">
        <v>100</v>
      </c>
      <c r="L109" s="4">
        <v>100</v>
      </c>
      <c r="T109" s="4">
        <f t="shared" si="6"/>
        <v>250</v>
      </c>
      <c r="U109" s="36">
        <f>IF(Table2[[#This Row],[Nazwisko]]="","",IF(AND(D109="Nie",E109="Nie"),0,IF(AND(D109="Tak",E109="Nie"),Podsumowanie!$B$19,Podsumowanie!$C$19)))</f>
        <v>700</v>
      </c>
      <c r="V109" s="4">
        <f t="shared" si="4"/>
        <v>-450</v>
      </c>
      <c r="W109" s="55" t="str">
        <f t="shared" si="5"/>
        <v>NOK</v>
      </c>
      <c r="X109" s="4"/>
      <c r="Z109" s="4" t="str">
        <f>Table2[[#This Row],[Nazwisko]]&amp;Table2[[#This Row],[Imię]]</f>
        <v>firekula</v>
      </c>
      <c r="AA109" s="2">
        <f>COUNTIF(Z109:$Z$275,Z109)</f>
        <v>1</v>
      </c>
    </row>
    <row r="110" spans="1:27" hidden="1">
      <c r="A110" s="117" t="s">
        <v>213</v>
      </c>
      <c r="B110" s="4" t="s">
        <v>214</v>
      </c>
      <c r="C110" s="2" t="s">
        <v>188</v>
      </c>
      <c r="D110" s="2" t="s">
        <v>27</v>
      </c>
      <c r="E110" s="2" t="s">
        <v>33</v>
      </c>
      <c r="G110" s="4">
        <v>50</v>
      </c>
      <c r="K110" s="4">
        <v>100</v>
      </c>
      <c r="L110" s="4">
        <v>100</v>
      </c>
      <c r="T110" s="4">
        <f t="shared" si="6"/>
        <v>250</v>
      </c>
      <c r="U110" s="36">
        <f>IF(Table2[[#This Row],[Nazwisko]]="","",IF(AND(D110="Nie",E110="Nie"),0,IF(AND(D110="Tak",E110="Nie"),Podsumowanie!$B$19,Podsumowanie!$C$19)))</f>
        <v>430</v>
      </c>
      <c r="V110" s="4">
        <f t="shared" si="4"/>
        <v>-180</v>
      </c>
      <c r="W110" s="55" t="str">
        <f t="shared" si="5"/>
        <v>NOK</v>
      </c>
      <c r="X110" s="4"/>
      <c r="Z110" s="4" t="str">
        <f>Table2[[#This Row],[Nazwisko]]&amp;Table2[[#This Row],[Imię]]</f>
        <v>makowskihubert</v>
      </c>
      <c r="AA110" s="2">
        <f>COUNTIF(Z110:$Z$275,Z110)</f>
        <v>1</v>
      </c>
    </row>
    <row r="111" spans="1:27" hidden="1">
      <c r="A111" s="4" t="s">
        <v>215</v>
      </c>
      <c r="B111" s="4" t="s">
        <v>216</v>
      </c>
      <c r="C111" s="2" t="s">
        <v>53</v>
      </c>
      <c r="D111" s="2" t="s">
        <v>27</v>
      </c>
      <c r="E111" s="2" t="s">
        <v>27</v>
      </c>
      <c r="G111" s="4">
        <v>50</v>
      </c>
      <c r="Q111" s="4">
        <v>100</v>
      </c>
      <c r="T111" s="4">
        <f t="shared" si="6"/>
        <v>150</v>
      </c>
      <c r="U111" s="36">
        <f>IF(Table2[[#This Row],[Nazwisko]]="","",IF(AND(D111="Nie",E111="Nie"),0,IF(AND(D111="Tak",E111="Nie"),Podsumowanie!$B$19,Podsumowanie!$C$19)))</f>
        <v>700</v>
      </c>
      <c r="V111" s="4">
        <f t="shared" si="4"/>
        <v>-550</v>
      </c>
      <c r="W111" s="55" t="str">
        <f t="shared" si="5"/>
        <v>NOK</v>
      </c>
      <c r="X111" s="4"/>
      <c r="Z111" s="4" t="str">
        <f>Table2[[#This Row],[Nazwisko]]&amp;Table2[[#This Row],[Imię]]</f>
        <v>ŁypBianca</v>
      </c>
      <c r="AA111" s="2">
        <f>COUNTIF(Z111:$Z$275,Z111)</f>
        <v>1</v>
      </c>
    </row>
    <row r="112" spans="1:27" hidden="1">
      <c r="A112" s="117" t="s">
        <v>217</v>
      </c>
      <c r="B112" s="4" t="s">
        <v>63</v>
      </c>
      <c r="C112" s="2" t="s">
        <v>188</v>
      </c>
      <c r="D112" s="2" t="s">
        <v>27</v>
      </c>
      <c r="E112" s="2" t="s">
        <v>33</v>
      </c>
      <c r="G112" s="4">
        <v>50</v>
      </c>
      <c r="K112" s="4">
        <v>100</v>
      </c>
      <c r="L112" s="4">
        <v>100</v>
      </c>
      <c r="T112" s="4">
        <f t="shared" si="6"/>
        <v>250</v>
      </c>
      <c r="U112" s="36">
        <f>IF(Table2[[#This Row],[Nazwisko]]="","",IF(AND(D112="Nie",E112="Nie"),0,IF(AND(D112="Tak",E112="Nie"),Podsumowanie!$B$19,Podsumowanie!$C$19)))</f>
        <v>430</v>
      </c>
      <c r="V112" s="4">
        <f t="shared" si="4"/>
        <v>-180</v>
      </c>
      <c r="W112" s="55" t="str">
        <f t="shared" si="5"/>
        <v>NOK</v>
      </c>
      <c r="X112" s="4"/>
      <c r="Z112" s="4" t="str">
        <f>Table2[[#This Row],[Nazwisko]]&amp;Table2[[#This Row],[Imię]]</f>
        <v>BartońMaja</v>
      </c>
      <c r="AA112" s="2">
        <f>COUNTIF(Z112:$Z$275,Z112)</f>
        <v>1</v>
      </c>
    </row>
    <row r="113" spans="1:27" hidden="1">
      <c r="A113" s="117" t="s">
        <v>218</v>
      </c>
      <c r="B113" s="4" t="s">
        <v>219</v>
      </c>
      <c r="C113" s="2" t="s">
        <v>188</v>
      </c>
      <c r="D113" s="2" t="s">
        <v>27</v>
      </c>
      <c r="E113" s="2" t="s">
        <v>33</v>
      </c>
      <c r="G113" s="4">
        <v>50</v>
      </c>
      <c r="K113" s="4">
        <v>100</v>
      </c>
      <c r="L113" s="4">
        <v>100</v>
      </c>
      <c r="T113" s="4">
        <f t="shared" si="6"/>
        <v>250</v>
      </c>
      <c r="U113" s="36">
        <f>IF(Table2[[#This Row],[Nazwisko]]="","",IF(AND(D113="Nie",E113="Nie"),0,IF(AND(D113="Tak",E113="Nie"),Podsumowanie!$B$19,Podsumowanie!$C$19)))</f>
        <v>430</v>
      </c>
      <c r="V113" s="4">
        <f t="shared" si="4"/>
        <v>-180</v>
      </c>
      <c r="W113" s="55" t="str">
        <f t="shared" si="5"/>
        <v>NOK</v>
      </c>
      <c r="X113" s="4"/>
      <c r="Z113" s="4" t="str">
        <f>Table2[[#This Row],[Nazwisko]]&amp;Table2[[#This Row],[Imię]]</f>
        <v>WilczyńskiPrzemek</v>
      </c>
      <c r="AA113" s="2">
        <f>COUNTIF(Z113:$Z$275,Z113)</f>
        <v>1</v>
      </c>
    </row>
    <row r="114" spans="1:27" hidden="1">
      <c r="A114" s="117" t="s">
        <v>180</v>
      </c>
      <c r="B114" s="4" t="s">
        <v>135</v>
      </c>
      <c r="C114" s="2" t="s">
        <v>188</v>
      </c>
      <c r="D114" s="2" t="s">
        <v>27</v>
      </c>
      <c r="E114" s="2" t="s">
        <v>27</v>
      </c>
      <c r="G114" s="4">
        <v>50</v>
      </c>
      <c r="K114" s="4">
        <v>100</v>
      </c>
      <c r="L114" s="4">
        <v>100</v>
      </c>
      <c r="T114" s="4">
        <f t="shared" si="6"/>
        <v>250</v>
      </c>
      <c r="U114" s="36">
        <f>IF(Table2[[#This Row],[Nazwisko]]="","",IF(AND(D114="Nie",E114="Nie"),0,IF(AND(D114="Tak",E114="Nie"),Podsumowanie!$B$19,Podsumowanie!$C$19)))</f>
        <v>700</v>
      </c>
      <c r="V114" s="4">
        <f t="shared" si="4"/>
        <v>-450</v>
      </c>
      <c r="W114" s="55" t="str">
        <f t="shared" si="5"/>
        <v>NOK</v>
      </c>
      <c r="X114" s="4"/>
      <c r="Z114" s="4" t="str">
        <f>Table2[[#This Row],[Nazwisko]]&amp;Table2[[#This Row],[Imię]]</f>
        <v>PokropskiAdam</v>
      </c>
      <c r="AA114" s="2">
        <f>COUNTIF(Z114:$Z$275,Z114)</f>
        <v>1</v>
      </c>
    </row>
    <row r="115" spans="1:27" hidden="1">
      <c r="A115" s="4" t="s">
        <v>220</v>
      </c>
      <c r="B115" s="4" t="s">
        <v>221</v>
      </c>
      <c r="C115" s="2" t="s">
        <v>32</v>
      </c>
      <c r="D115" s="2" t="s">
        <v>27</v>
      </c>
      <c r="E115" s="2" t="s">
        <v>27</v>
      </c>
      <c r="G115" s="4">
        <v>50</v>
      </c>
      <c r="Q115" s="4">
        <v>200</v>
      </c>
      <c r="T115" s="4">
        <f t="shared" si="6"/>
        <v>250</v>
      </c>
      <c r="U115" s="36">
        <f>IF(Table2[[#This Row],[Nazwisko]]="","",IF(AND(D115="Nie",E115="Nie"),0,IF(AND(D115="Tak",E115="Nie"),Podsumowanie!$B$19,Podsumowanie!$C$19)))</f>
        <v>700</v>
      </c>
      <c r="V115" s="4">
        <f t="shared" si="4"/>
        <v>-450</v>
      </c>
      <c r="W115" s="55" t="str">
        <f t="shared" si="5"/>
        <v>NOK</v>
      </c>
      <c r="X115" s="4"/>
      <c r="Z115" s="4" t="str">
        <f>Table2[[#This Row],[Nazwisko]]&amp;Table2[[#This Row],[Imię]]</f>
        <v>GrządzielPatryk</v>
      </c>
      <c r="AA115" s="2">
        <f>COUNTIF(Z115:$Z$275,Z115)</f>
        <v>1</v>
      </c>
    </row>
    <row r="116" spans="1:27">
      <c r="A116" s="4" t="s">
        <v>222</v>
      </c>
      <c r="B116" s="4" t="s">
        <v>223</v>
      </c>
      <c r="C116" s="2" t="s">
        <v>87</v>
      </c>
      <c r="D116" s="2" t="s">
        <v>27</v>
      </c>
      <c r="E116" s="2" t="s">
        <v>33</v>
      </c>
      <c r="G116" s="4">
        <v>50</v>
      </c>
      <c r="P116" s="4">
        <v>100</v>
      </c>
      <c r="Q116" s="4">
        <v>100</v>
      </c>
      <c r="T116" s="4">
        <f t="shared" si="6"/>
        <v>250</v>
      </c>
      <c r="U116" s="36">
        <f>IF(Table2[[#This Row],[Nazwisko]]="","",IF(AND(D116="Nie",E116="Nie"),0,IF(AND(D116="Tak",E116="Nie"),Podsumowanie!$B$19,Podsumowanie!$C$19)))</f>
        <v>430</v>
      </c>
      <c r="V116" s="4">
        <f t="shared" si="4"/>
        <v>-180</v>
      </c>
      <c r="W116" s="55" t="str">
        <f t="shared" si="5"/>
        <v>NOK</v>
      </c>
      <c r="X116" s="4"/>
      <c r="Z116" s="4" t="str">
        <f>Table2[[#This Row],[Nazwisko]]&amp;Table2[[#This Row],[Imię]]</f>
        <v>ŁysikMarta</v>
      </c>
      <c r="AA116" s="2">
        <f>COUNTIF(Z116:$Z$275,Z116)</f>
        <v>1</v>
      </c>
    </row>
    <row r="117" spans="1:27">
      <c r="A117" s="4" t="s">
        <v>224</v>
      </c>
      <c r="B117" s="4" t="s">
        <v>44</v>
      </c>
      <c r="C117" s="2" t="s">
        <v>87</v>
      </c>
      <c r="D117" s="2" t="s">
        <v>27</v>
      </c>
      <c r="E117" s="2" t="s">
        <v>33</v>
      </c>
      <c r="G117" s="4">
        <v>50</v>
      </c>
      <c r="P117" s="4">
        <v>100</v>
      </c>
      <c r="Q117" s="4">
        <v>100</v>
      </c>
      <c r="T117" s="4">
        <f t="shared" si="6"/>
        <v>250</v>
      </c>
      <c r="U117" s="36">
        <f>IF(Table2[[#This Row],[Nazwisko]]="","",IF(AND(D117="Nie",E117="Nie"),0,IF(AND(D117="Tak",E117="Nie"),Podsumowanie!$B$19,Podsumowanie!$C$19)))</f>
        <v>430</v>
      </c>
      <c r="V117" s="4">
        <f t="shared" si="4"/>
        <v>-180</v>
      </c>
      <c r="W117" s="55" t="str">
        <f t="shared" si="5"/>
        <v>NOK</v>
      </c>
      <c r="X117" s="4"/>
      <c r="Z117" s="4" t="str">
        <f>Table2[[#This Row],[Nazwisko]]&amp;Table2[[#This Row],[Imię]]</f>
        <v>RogalskiJakub</v>
      </c>
      <c r="AA117" s="2">
        <f>COUNTIF(Z117:$Z$275,Z117)</f>
        <v>1</v>
      </c>
    </row>
    <row r="118" spans="1:27">
      <c r="A118" s="4" t="s">
        <v>225</v>
      </c>
      <c r="B118" s="4" t="s">
        <v>226</v>
      </c>
      <c r="C118" s="2" t="s">
        <v>87</v>
      </c>
      <c r="D118" s="2" t="s">
        <v>27</v>
      </c>
      <c r="E118" s="2" t="s">
        <v>27</v>
      </c>
      <c r="G118" s="4">
        <v>50</v>
      </c>
      <c r="P118" s="4">
        <v>100</v>
      </c>
      <c r="Q118" s="4">
        <v>200</v>
      </c>
      <c r="T118" s="4">
        <f t="shared" si="6"/>
        <v>350</v>
      </c>
      <c r="U118" s="36">
        <f>IF(Table2[[#This Row],[Nazwisko]]="","",IF(AND(D118="Nie",E118="Nie"),0,IF(AND(D118="Tak",E118="Nie"),Podsumowanie!$B$19,Podsumowanie!$C$19)))</f>
        <v>700</v>
      </c>
      <c r="V118" s="4">
        <f t="shared" si="4"/>
        <v>-350</v>
      </c>
      <c r="W118" s="55" t="str">
        <f t="shared" si="5"/>
        <v>NOK</v>
      </c>
      <c r="X118" s="4"/>
      <c r="Z118" s="4" t="str">
        <f>Table2[[#This Row],[Nazwisko]]&amp;Table2[[#This Row],[Imię]]</f>
        <v>PawlikAmelia</v>
      </c>
      <c r="AA118" s="2">
        <f>COUNTIF(Z118:$Z$275,Z118)</f>
        <v>1</v>
      </c>
    </row>
    <row r="119" spans="1:27">
      <c r="A119" s="4" t="s">
        <v>227</v>
      </c>
      <c r="B119" s="4" t="s">
        <v>228</v>
      </c>
      <c r="C119" s="2" t="s">
        <v>87</v>
      </c>
      <c r="D119" s="2" t="s">
        <v>27</v>
      </c>
      <c r="E119" s="2" t="s">
        <v>27</v>
      </c>
      <c r="G119" s="4">
        <v>50</v>
      </c>
      <c r="P119" s="4">
        <v>100</v>
      </c>
      <c r="Q119" s="4">
        <v>100</v>
      </c>
      <c r="T119" s="4">
        <f t="shared" si="6"/>
        <v>250</v>
      </c>
      <c r="U119" s="36">
        <f>IF(Table2[[#This Row],[Nazwisko]]="","",IF(AND(D119="Nie",E119="Nie"),0,IF(AND(D119="Tak",E119="Nie"),Podsumowanie!$B$19,Podsumowanie!$C$19)))</f>
        <v>700</v>
      </c>
      <c r="V119" s="4">
        <f t="shared" si="4"/>
        <v>-450</v>
      </c>
      <c r="W119" s="55" t="str">
        <f t="shared" si="5"/>
        <v>NOK</v>
      </c>
      <c r="X119" s="4"/>
      <c r="Z119" s="4" t="str">
        <f>Table2[[#This Row],[Nazwisko]]&amp;Table2[[#This Row],[Imię]]</f>
        <v>KowalikCyprian</v>
      </c>
      <c r="AA119" s="2">
        <f>COUNTIF(Z119:$Z$275,Z119)</f>
        <v>1</v>
      </c>
    </row>
    <row r="120" spans="1:27" hidden="1">
      <c r="A120" s="4" t="s">
        <v>229</v>
      </c>
      <c r="B120" s="4" t="s">
        <v>73</v>
      </c>
      <c r="C120" s="2" t="s">
        <v>32</v>
      </c>
      <c r="D120" s="2" t="s">
        <v>27</v>
      </c>
      <c r="E120" s="2" t="s">
        <v>27</v>
      </c>
      <c r="G120" s="4">
        <v>50</v>
      </c>
      <c r="Q120" s="4">
        <v>650</v>
      </c>
      <c r="T120" s="4">
        <f t="shared" si="6"/>
        <v>700</v>
      </c>
      <c r="U120" s="36">
        <f>IF(Table2[[#This Row],[Nazwisko]]="","",IF(AND(D120="Nie",E120="Nie"),0,IF(AND(D120="Tak",E120="Nie"),Podsumowanie!$B$19,Podsumowanie!$C$19)))</f>
        <v>700</v>
      </c>
      <c r="V120" s="4">
        <f t="shared" si="4"/>
        <v>0</v>
      </c>
      <c r="W120" s="55" t="str">
        <f t="shared" si="5"/>
        <v/>
      </c>
      <c r="X120" s="4"/>
      <c r="Z120" s="4" t="str">
        <f>Table2[[#This Row],[Nazwisko]]&amp;Table2[[#This Row],[Imię]]</f>
        <v>HabelJulia</v>
      </c>
      <c r="AA120" s="2">
        <f>COUNTIF(Z120:$Z$275,Z120)</f>
        <v>1</v>
      </c>
    </row>
    <row r="121" spans="1:27" hidden="1">
      <c r="A121" s="4" t="s">
        <v>230</v>
      </c>
      <c r="B121" s="4" t="s">
        <v>206</v>
      </c>
      <c r="C121" s="2" t="s">
        <v>113</v>
      </c>
      <c r="D121" s="2" t="s">
        <v>27</v>
      </c>
      <c r="E121" s="2" t="s">
        <v>27</v>
      </c>
      <c r="F121" s="2" t="s">
        <v>231</v>
      </c>
      <c r="G121" s="4">
        <v>50</v>
      </c>
      <c r="T121" s="4">
        <f t="shared" si="6"/>
        <v>50</v>
      </c>
      <c r="U121" s="36">
        <f>IF(Table2[[#This Row],[Nazwisko]]="","",IF(AND(D121="Nie",E121="Nie"),0,IF(AND(D121="Tak",E121="Nie"),Podsumowanie!$B$19,Podsumowanie!$C$19)))</f>
        <v>700</v>
      </c>
      <c r="V121" s="4">
        <f t="shared" si="4"/>
        <v>-650</v>
      </c>
      <c r="W121" s="55" t="str">
        <f t="shared" si="5"/>
        <v>NOK</v>
      </c>
      <c r="X121" s="4"/>
      <c r="Z121" s="4" t="str">
        <f>Table2[[#This Row],[Nazwisko]]&amp;Table2[[#This Row],[Imię]]</f>
        <v>DrozdekDominika</v>
      </c>
      <c r="AA121" s="2">
        <f>COUNTIF(Z121:$Z$275,Z121)</f>
        <v>1</v>
      </c>
    </row>
    <row r="122" spans="1:27" hidden="1">
      <c r="A122" s="4" t="s">
        <v>232</v>
      </c>
      <c r="B122" s="4" t="s">
        <v>57</v>
      </c>
      <c r="C122" s="2" t="s">
        <v>32</v>
      </c>
      <c r="D122" s="2" t="s">
        <v>27</v>
      </c>
      <c r="E122" s="2" t="s">
        <v>27</v>
      </c>
      <c r="G122" s="4">
        <v>50</v>
      </c>
      <c r="Q122" s="4">
        <v>650</v>
      </c>
      <c r="T122" s="4">
        <f t="shared" si="6"/>
        <v>700</v>
      </c>
      <c r="U122" s="36">
        <f>IF(Table2[[#This Row],[Nazwisko]]="","",IF(AND(D122="Nie",E122="Nie"),0,IF(AND(D122="Tak",E122="Nie"),Podsumowanie!$B$19,Podsumowanie!$C$19)))</f>
        <v>700</v>
      </c>
      <c r="V122" s="4">
        <f t="shared" si="4"/>
        <v>0</v>
      </c>
      <c r="W122" s="55" t="str">
        <f t="shared" si="5"/>
        <v/>
      </c>
      <c r="X122" s="4"/>
      <c r="Z122" s="4" t="str">
        <f>Table2[[#This Row],[Nazwisko]]&amp;Table2[[#This Row],[Imię]]</f>
        <v>KopkaOliwia</v>
      </c>
      <c r="AA122" s="2">
        <f>COUNTIF(Z122:$Z$275,Z122)</f>
        <v>1</v>
      </c>
    </row>
    <row r="123" spans="1:27" hidden="1">
      <c r="A123" s="4" t="s">
        <v>148</v>
      </c>
      <c r="B123" s="4" t="s">
        <v>46</v>
      </c>
      <c r="C123" s="2" t="s">
        <v>32</v>
      </c>
      <c r="D123" s="2" t="s">
        <v>27</v>
      </c>
      <c r="E123" s="2" t="s">
        <v>33</v>
      </c>
      <c r="F123" s="2" t="s">
        <v>233</v>
      </c>
      <c r="G123" s="4">
        <v>50</v>
      </c>
      <c r="Q123" s="4">
        <v>200</v>
      </c>
      <c r="T123" s="4">
        <f t="shared" si="6"/>
        <v>250</v>
      </c>
      <c r="U123" s="36">
        <f>IF(Table2[[#This Row],[Nazwisko]]="","",IF(AND(D123="Nie",E123="Nie"),0,IF(AND(D123="Tak",E123="Nie"),Podsumowanie!$B$19,Podsumowanie!$C$19)))</f>
        <v>430</v>
      </c>
      <c r="V123" s="4">
        <f t="shared" si="4"/>
        <v>-180</v>
      </c>
      <c r="W123" s="55" t="str">
        <f t="shared" si="5"/>
        <v>NOK</v>
      </c>
      <c r="X123" s="4"/>
      <c r="Z123" s="4" t="str">
        <f>Table2[[#This Row],[Nazwisko]]&amp;Table2[[#This Row],[Imię]]</f>
        <v>WróblewskaWeronika</v>
      </c>
      <c r="AA123" s="2">
        <f>COUNTIF(Z123:$Z$275,Z123)</f>
        <v>1</v>
      </c>
    </row>
    <row r="124" spans="1:27" hidden="1">
      <c r="A124" s="4" t="s">
        <v>234</v>
      </c>
      <c r="B124" s="4" t="s">
        <v>59</v>
      </c>
      <c r="C124" s="2" t="s">
        <v>32</v>
      </c>
      <c r="D124" s="2" t="s">
        <v>27</v>
      </c>
      <c r="E124" s="2" t="s">
        <v>33</v>
      </c>
      <c r="F124" s="2" t="s">
        <v>233</v>
      </c>
      <c r="G124" s="4">
        <v>50</v>
      </c>
      <c r="Q124" s="4">
        <v>200</v>
      </c>
      <c r="T124" s="4">
        <f t="shared" si="6"/>
        <v>250</v>
      </c>
      <c r="U124" s="36">
        <f>IF(Table2[[#This Row],[Nazwisko]]="","",IF(AND(D124="Nie",E124="Nie"),0,IF(AND(D124="Tak",E124="Nie"),Podsumowanie!$B$19,Podsumowanie!$C$19)))</f>
        <v>430</v>
      </c>
      <c r="V124" s="4">
        <f t="shared" si="4"/>
        <v>-180</v>
      </c>
      <c r="W124" s="55" t="str">
        <f t="shared" si="5"/>
        <v>NOK</v>
      </c>
      <c r="X124" s="4"/>
      <c r="Z124" s="4" t="str">
        <f>Table2[[#This Row],[Nazwisko]]&amp;Table2[[#This Row],[Imię]]</f>
        <v>OścikNatalia</v>
      </c>
      <c r="AA124" s="2">
        <f>COUNTIF(Z124:$Z$275,Z124)</f>
        <v>1</v>
      </c>
    </row>
    <row r="125" spans="1:27" hidden="1">
      <c r="A125" s="4" t="s">
        <v>235</v>
      </c>
      <c r="B125" s="4" t="s">
        <v>131</v>
      </c>
      <c r="C125" s="2" t="s">
        <v>32</v>
      </c>
      <c r="D125" s="2" t="s">
        <v>27</v>
      </c>
      <c r="E125" s="2" t="s">
        <v>33</v>
      </c>
      <c r="G125" s="4">
        <v>50</v>
      </c>
      <c r="Q125" s="4">
        <v>200</v>
      </c>
      <c r="T125" s="4">
        <f t="shared" si="6"/>
        <v>250</v>
      </c>
      <c r="U125" s="36">
        <f>IF(Table2[[#This Row],[Nazwisko]]="","",IF(AND(D125="Nie",E125="Nie"),0,IF(AND(D125="Tak",E125="Nie"),Podsumowanie!$B$19,Podsumowanie!$C$19)))</f>
        <v>430</v>
      </c>
      <c r="V125" s="4">
        <f t="shared" si="4"/>
        <v>-180</v>
      </c>
      <c r="W125" s="55" t="str">
        <f t="shared" si="5"/>
        <v>NOK</v>
      </c>
      <c r="X125" s="4"/>
      <c r="Z125" s="4" t="str">
        <f>Table2[[#This Row],[Nazwisko]]&amp;Table2[[#This Row],[Imię]]</f>
        <v>SmykMichalina</v>
      </c>
      <c r="AA125" s="2">
        <f>COUNTIF(Z125:$Z$275,Z125)</f>
        <v>1</v>
      </c>
    </row>
    <row r="126" spans="1:27" hidden="1">
      <c r="A126" s="4" t="s">
        <v>236</v>
      </c>
      <c r="B126" s="4" t="s">
        <v>178</v>
      </c>
      <c r="C126" s="2" t="s">
        <v>32</v>
      </c>
      <c r="D126" s="2" t="s">
        <v>27</v>
      </c>
      <c r="E126" s="2" t="s">
        <v>33</v>
      </c>
      <c r="F126" s="2" t="s">
        <v>233</v>
      </c>
      <c r="G126" s="4">
        <v>50</v>
      </c>
      <c r="Q126" s="4">
        <v>200</v>
      </c>
      <c r="T126" s="4">
        <f t="shared" si="6"/>
        <v>250</v>
      </c>
      <c r="U126" s="36">
        <f>IF(Table2[[#This Row],[Nazwisko]]="","",IF(AND(D126="Nie",E126="Nie"),0,IF(AND(D126="Tak",E126="Nie"),Podsumowanie!$B$19,Podsumowanie!$C$19)))</f>
        <v>430</v>
      </c>
      <c r="V126" s="4">
        <f t="shared" si="4"/>
        <v>-180</v>
      </c>
      <c r="W126" s="55" t="str">
        <f t="shared" si="5"/>
        <v>NOK</v>
      </c>
      <c r="X126" s="4"/>
      <c r="Z126" s="4" t="str">
        <f>Table2[[#This Row],[Nazwisko]]&amp;Table2[[#This Row],[Imię]]</f>
        <v>BorowskiAntoni</v>
      </c>
      <c r="AA126" s="2">
        <f>COUNTIF(Z126:$Z$275,Z126)</f>
        <v>1</v>
      </c>
    </row>
    <row r="127" spans="1:27" hidden="1">
      <c r="A127" s="117" t="s">
        <v>237</v>
      </c>
      <c r="B127" s="4" t="s">
        <v>192</v>
      </c>
      <c r="C127" s="2" t="s">
        <v>188</v>
      </c>
      <c r="D127" s="2" t="s">
        <v>27</v>
      </c>
      <c r="E127" s="2" t="s">
        <v>27</v>
      </c>
      <c r="G127" s="4">
        <v>50</v>
      </c>
      <c r="K127" s="4">
        <v>100</v>
      </c>
      <c r="L127" s="4">
        <v>100</v>
      </c>
      <c r="T127" s="4">
        <f t="shared" si="6"/>
        <v>250</v>
      </c>
      <c r="U127" s="36">
        <f>IF(Table2[[#This Row],[Nazwisko]]="","",IF(AND(D127="Nie",E127="Nie"),0,IF(AND(D127="Tak",E127="Nie"),Podsumowanie!$B$19,Podsumowanie!$C$19)))</f>
        <v>700</v>
      </c>
      <c r="V127" s="4">
        <f t="shared" si="4"/>
        <v>-450</v>
      </c>
      <c r="W127" s="55" t="str">
        <f t="shared" si="5"/>
        <v>NOK</v>
      </c>
      <c r="X127" s="4"/>
      <c r="Z127" s="4" t="str">
        <f>Table2[[#This Row],[Nazwisko]]&amp;Table2[[#This Row],[Imię]]</f>
        <v>PosakJulian</v>
      </c>
      <c r="AA127" s="2">
        <f>COUNTIF(Z127:$Z$275,Z127)</f>
        <v>1</v>
      </c>
    </row>
    <row r="128" spans="1:27" hidden="1">
      <c r="A128" s="4" t="s">
        <v>238</v>
      </c>
      <c r="B128" s="4" t="s">
        <v>83</v>
      </c>
      <c r="C128" s="2" t="s">
        <v>179</v>
      </c>
      <c r="D128" s="2" t="s">
        <v>27</v>
      </c>
      <c r="E128" s="2" t="s">
        <v>27</v>
      </c>
      <c r="G128" s="4">
        <v>50</v>
      </c>
      <c r="K128" s="4">
        <v>100</v>
      </c>
      <c r="L128" s="4">
        <v>100</v>
      </c>
      <c r="T128" s="4">
        <f t="shared" si="6"/>
        <v>250</v>
      </c>
      <c r="U128" s="36">
        <f>IF(Table2[[#This Row],[Nazwisko]]="","",IF(AND(D128="Nie",E128="Nie"),0,IF(AND(D128="Tak",E128="Nie"),Podsumowanie!$B$19,Podsumowanie!$C$19)))</f>
        <v>700</v>
      </c>
      <c r="V128" s="4">
        <f t="shared" si="4"/>
        <v>-450</v>
      </c>
      <c r="W128" s="55" t="str">
        <f t="shared" si="5"/>
        <v>NOK</v>
      </c>
      <c r="X128" s="4"/>
      <c r="Z128" s="4" t="str">
        <f>Table2[[#This Row],[Nazwisko]]&amp;Table2[[#This Row],[Imię]]</f>
        <v>KędzierskaPaulina</v>
      </c>
      <c r="AA128" s="2">
        <f>COUNTIF(Z128:$Z$275,Z128)</f>
        <v>1</v>
      </c>
    </row>
    <row r="129" spans="1:27" hidden="1">
      <c r="A129" s="117" t="s">
        <v>239</v>
      </c>
      <c r="B129" s="4" t="s">
        <v>63</v>
      </c>
      <c r="C129" s="2" t="s">
        <v>188</v>
      </c>
      <c r="D129" s="2" t="s">
        <v>27</v>
      </c>
      <c r="E129" s="2" t="s">
        <v>27</v>
      </c>
      <c r="G129" s="4">
        <v>50</v>
      </c>
      <c r="K129" s="4">
        <v>100</v>
      </c>
      <c r="L129" s="4">
        <v>100</v>
      </c>
      <c r="T129" s="4">
        <f t="shared" si="6"/>
        <v>250</v>
      </c>
      <c r="U129" s="36">
        <f>IF(Table2[[#This Row],[Nazwisko]]="","",IF(AND(D129="Nie",E129="Nie"),0,IF(AND(D129="Tak",E129="Nie"),Podsumowanie!$B$19,Podsumowanie!$C$19)))</f>
        <v>700</v>
      </c>
      <c r="V129" s="4">
        <f t="shared" si="4"/>
        <v>-450</v>
      </c>
      <c r="W129" s="55" t="str">
        <f t="shared" si="5"/>
        <v>NOK</v>
      </c>
      <c r="X129" s="4"/>
      <c r="Z129" s="4" t="str">
        <f>Table2[[#This Row],[Nazwisko]]&amp;Table2[[#This Row],[Imię]]</f>
        <v>DomińczykMaja</v>
      </c>
      <c r="AA129" s="2">
        <f>COUNTIF(Z129:$Z$275,Z129)</f>
        <v>1</v>
      </c>
    </row>
    <row r="130" spans="1:27" hidden="1">
      <c r="A130" s="117" t="s">
        <v>240</v>
      </c>
      <c r="B130" s="4" t="s">
        <v>73</v>
      </c>
      <c r="C130" s="2" t="s">
        <v>188</v>
      </c>
      <c r="D130" s="2" t="s">
        <v>27</v>
      </c>
      <c r="E130" s="2" t="s">
        <v>27</v>
      </c>
      <c r="G130" s="4">
        <v>50</v>
      </c>
      <c r="K130" s="4">
        <v>100</v>
      </c>
      <c r="L130" s="4">
        <v>100</v>
      </c>
      <c r="M130" s="4">
        <v>100</v>
      </c>
      <c r="T130" s="4">
        <f t="shared" si="6"/>
        <v>350</v>
      </c>
      <c r="U130" s="36">
        <f>IF(Table2[[#This Row],[Nazwisko]]="","",IF(AND(D130="Nie",E130="Nie"),0,IF(AND(D130="Tak",E130="Nie"),Podsumowanie!$B$19,Podsumowanie!$C$19)))</f>
        <v>700</v>
      </c>
      <c r="V130" s="4">
        <f t="shared" si="4"/>
        <v>-350</v>
      </c>
      <c r="W130" s="55" t="str">
        <f t="shared" si="5"/>
        <v>NOK</v>
      </c>
      <c r="X130" s="4"/>
      <c r="Z130" s="4" t="str">
        <f>Table2[[#This Row],[Nazwisko]]&amp;Table2[[#This Row],[Imię]]</f>
        <v>LudwinJulia</v>
      </c>
      <c r="AA130" s="2">
        <f>COUNTIF(Z130:$Z$275,Z130)</f>
        <v>1</v>
      </c>
    </row>
    <row r="131" spans="1:27" hidden="1">
      <c r="A131" s="117" t="s">
        <v>34</v>
      </c>
      <c r="B131" s="4" t="s">
        <v>73</v>
      </c>
      <c r="C131" s="2" t="s">
        <v>188</v>
      </c>
      <c r="D131" s="2" t="s">
        <v>27</v>
      </c>
      <c r="E131" s="2" t="s">
        <v>33</v>
      </c>
      <c r="G131" s="4">
        <v>50</v>
      </c>
      <c r="K131" s="4">
        <v>100</v>
      </c>
      <c r="L131" s="4">
        <v>100</v>
      </c>
      <c r="T131" s="4">
        <f t="shared" si="6"/>
        <v>250</v>
      </c>
      <c r="U131" s="36">
        <f>IF(Table2[[#This Row],[Nazwisko]]="","",IF(AND(D131="Nie",E131="Nie"),0,IF(AND(D131="Tak",E131="Nie"),Podsumowanie!$B$19,Podsumowanie!$C$19)))</f>
        <v>430</v>
      </c>
      <c r="V131" s="4">
        <f t="shared" ref="V131:V194" si="7">IFERROR(T131-U131,"")</f>
        <v>-180</v>
      </c>
      <c r="W131" s="55" t="str">
        <f t="shared" ref="W131:W194" si="8">IF(OR(A131="",V131=0),"",IF(OR(V131&gt;-0.01,V131=0),"OK","NOK"))</f>
        <v>NOK</v>
      </c>
      <c r="X131" s="4"/>
      <c r="Z131" s="4" t="str">
        <f>Table2[[#This Row],[Nazwisko]]&amp;Table2[[#This Row],[Imię]]</f>
        <v>HofmanJulia</v>
      </c>
      <c r="AA131" s="2">
        <f>COUNTIF(Z131:$Z$275,Z131)</f>
        <v>1</v>
      </c>
    </row>
    <row r="132" spans="1:27">
      <c r="A132" s="4" t="s">
        <v>241</v>
      </c>
      <c r="B132" s="4" t="s">
        <v>46</v>
      </c>
      <c r="C132" s="2" t="s">
        <v>87</v>
      </c>
      <c r="D132" s="2" t="s">
        <v>27</v>
      </c>
      <c r="E132" s="2" t="s">
        <v>33</v>
      </c>
      <c r="G132" s="4">
        <v>50</v>
      </c>
      <c r="P132" s="4">
        <v>100</v>
      </c>
      <c r="Q132" s="4">
        <v>100</v>
      </c>
      <c r="T132" s="4">
        <f t="shared" ref="T132:T165" si="9">SUM(G132:S132)</f>
        <v>250</v>
      </c>
      <c r="U132" s="36">
        <f>IF(Table2[[#This Row],[Nazwisko]]="","",IF(AND(D132="Nie",E132="Nie"),0,IF(AND(D132="Tak",E132="Nie"),Podsumowanie!$B$19,Podsumowanie!$C$19)))</f>
        <v>430</v>
      </c>
      <c r="V132" s="4">
        <f t="shared" si="7"/>
        <v>-180</v>
      </c>
      <c r="W132" s="55" t="str">
        <f t="shared" si="8"/>
        <v>NOK</v>
      </c>
      <c r="X132" s="4"/>
      <c r="Z132" s="4" t="str">
        <f>Table2[[#This Row],[Nazwisko]]&amp;Table2[[#This Row],[Imię]]</f>
        <v>MaszczykWeronika</v>
      </c>
      <c r="AA132" s="2">
        <f>COUNTIF(Z132:$Z$275,Z132)</f>
        <v>1</v>
      </c>
    </row>
    <row r="133" spans="1:27" hidden="1">
      <c r="A133" s="4" t="s">
        <v>242</v>
      </c>
      <c r="B133" s="4" t="s">
        <v>37</v>
      </c>
      <c r="C133" s="2" t="s">
        <v>179</v>
      </c>
      <c r="D133" s="2" t="s">
        <v>27</v>
      </c>
      <c r="E133" s="2" t="s">
        <v>27</v>
      </c>
      <c r="G133" s="4">
        <v>50</v>
      </c>
      <c r="K133" s="4">
        <v>100</v>
      </c>
      <c r="L133" s="4">
        <v>100</v>
      </c>
      <c r="T133" s="4">
        <f t="shared" si="9"/>
        <v>250</v>
      </c>
      <c r="U133" s="36">
        <f>IF(Table2[[#This Row],[Nazwisko]]="","",IF(AND(D133="Nie",E133="Nie"),0,IF(AND(D133="Tak",E133="Nie"),Podsumowanie!$B$19,Podsumowanie!$C$19)))</f>
        <v>700</v>
      </c>
      <c r="V133" s="4">
        <f t="shared" si="7"/>
        <v>-450</v>
      </c>
      <c r="W133" s="55" t="str">
        <f t="shared" si="8"/>
        <v>NOK</v>
      </c>
      <c r="X133" s="4"/>
      <c r="Z133" s="4" t="str">
        <f>Table2[[#This Row],[Nazwisko]]&amp;Table2[[#This Row],[Imię]]</f>
        <v>KnysiakPatrycja</v>
      </c>
      <c r="AA133" s="2">
        <f>COUNTIF(Z133:$Z$275,Z133)</f>
        <v>1</v>
      </c>
    </row>
    <row r="134" spans="1:27" hidden="1">
      <c r="A134" s="4" t="s">
        <v>243</v>
      </c>
      <c r="B134" s="4" t="s">
        <v>244</v>
      </c>
      <c r="C134" s="2" t="s">
        <v>179</v>
      </c>
      <c r="D134" s="2" t="s">
        <v>27</v>
      </c>
      <c r="E134" s="2" t="s">
        <v>27</v>
      </c>
      <c r="G134" s="4">
        <v>50</v>
      </c>
      <c r="K134" s="4">
        <v>100</v>
      </c>
      <c r="T134" s="4">
        <f t="shared" si="9"/>
        <v>150</v>
      </c>
      <c r="U134" s="36">
        <f>IF(Table2[[#This Row],[Nazwisko]]="","",IF(AND(D134="Nie",E134="Nie"),0,IF(AND(D134="Tak",E134="Nie"),Podsumowanie!$B$19,Podsumowanie!$C$19)))</f>
        <v>700</v>
      </c>
      <c r="V134" s="4">
        <f t="shared" si="7"/>
        <v>-550</v>
      </c>
      <c r="W134" s="55" t="str">
        <f t="shared" si="8"/>
        <v>NOK</v>
      </c>
      <c r="X134" s="4"/>
      <c r="Z134" s="4" t="str">
        <f>Table2[[#This Row],[Nazwisko]]&amp;Table2[[#This Row],[Imię]]</f>
        <v>SiejkaAdrianna</v>
      </c>
      <c r="AA134" s="2">
        <f>COUNTIF(Z134:$Z$275,Z134)</f>
        <v>1</v>
      </c>
    </row>
    <row r="135" spans="1:27" hidden="1">
      <c r="A135" s="4" t="s">
        <v>245</v>
      </c>
      <c r="B135" s="4" t="s">
        <v>46</v>
      </c>
      <c r="C135" s="2" t="s">
        <v>179</v>
      </c>
      <c r="D135" s="2" t="s">
        <v>27</v>
      </c>
      <c r="E135" s="2" t="s">
        <v>27</v>
      </c>
      <c r="G135" s="4">
        <v>50</v>
      </c>
      <c r="K135" s="4">
        <v>100</v>
      </c>
      <c r="L135" s="4">
        <v>100</v>
      </c>
      <c r="T135" s="4">
        <f t="shared" si="9"/>
        <v>250</v>
      </c>
      <c r="U135" s="36">
        <f>IF(Table2[[#This Row],[Nazwisko]]="","",IF(AND(D135="Nie",E135="Nie"),0,IF(AND(D135="Tak",E135="Nie"),Podsumowanie!$B$19,Podsumowanie!$C$19)))</f>
        <v>700</v>
      </c>
      <c r="V135" s="4">
        <f t="shared" si="7"/>
        <v>-450</v>
      </c>
      <c r="W135" s="55" t="str">
        <f t="shared" si="8"/>
        <v>NOK</v>
      </c>
      <c r="X135" s="4"/>
      <c r="Z135" s="4" t="str">
        <f>Table2[[#This Row],[Nazwisko]]&amp;Table2[[#This Row],[Imię]]</f>
        <v>KaziorWeronika</v>
      </c>
      <c r="AA135" s="2">
        <f>COUNTIF(Z135:$Z$275,Z135)</f>
        <v>1</v>
      </c>
    </row>
    <row r="136" spans="1:27" hidden="1">
      <c r="A136" s="4" t="s">
        <v>246</v>
      </c>
      <c r="B136" s="4" t="s">
        <v>29</v>
      </c>
      <c r="C136" s="2" t="s">
        <v>179</v>
      </c>
      <c r="D136" s="2" t="s">
        <v>27</v>
      </c>
      <c r="E136" s="2" t="s">
        <v>27</v>
      </c>
      <c r="G136" s="4">
        <v>50</v>
      </c>
      <c r="K136" s="4">
        <v>100</v>
      </c>
      <c r="T136" s="4">
        <f t="shared" si="9"/>
        <v>150</v>
      </c>
      <c r="U136" s="36">
        <f>IF(Table2[[#This Row],[Nazwisko]]="","",IF(AND(D136="Nie",E136="Nie"),0,IF(AND(D136="Tak",E136="Nie"),Podsumowanie!$B$19,Podsumowanie!$C$19)))</f>
        <v>700</v>
      </c>
      <c r="V136" s="4">
        <f t="shared" si="7"/>
        <v>-550</v>
      </c>
      <c r="W136" s="55" t="str">
        <f t="shared" si="8"/>
        <v>NOK</v>
      </c>
      <c r="X136" s="4"/>
      <c r="Z136" s="4" t="str">
        <f>Table2[[#This Row],[Nazwisko]]&amp;Table2[[#This Row],[Imię]]</f>
        <v>SuśMartyna</v>
      </c>
      <c r="AA136" s="2">
        <f>COUNTIF(Z136:$Z$275,Z136)</f>
        <v>1</v>
      </c>
    </row>
    <row r="137" spans="1:27" hidden="1">
      <c r="A137" s="4" t="s">
        <v>174</v>
      </c>
      <c r="B137" s="4" t="s">
        <v>65</v>
      </c>
      <c r="C137" s="2" t="s">
        <v>179</v>
      </c>
      <c r="D137" s="2" t="s">
        <v>27</v>
      </c>
      <c r="E137" s="2" t="s">
        <v>27</v>
      </c>
      <c r="G137" s="4">
        <v>50</v>
      </c>
      <c r="K137" s="4">
        <v>100</v>
      </c>
      <c r="T137" s="4">
        <f t="shared" si="9"/>
        <v>150</v>
      </c>
      <c r="U137" s="36">
        <f>IF(Table2[[#This Row],[Nazwisko]]="","",IF(AND(D137="Nie",E137="Nie"),0,IF(AND(D137="Tak",E137="Nie"),Podsumowanie!$B$19,Podsumowanie!$C$19)))</f>
        <v>700</v>
      </c>
      <c r="V137" s="4">
        <f t="shared" si="7"/>
        <v>-550</v>
      </c>
      <c r="W137" s="55" t="str">
        <f t="shared" si="8"/>
        <v>NOK</v>
      </c>
      <c r="X137" s="4"/>
      <c r="Z137" s="4" t="str">
        <f>Table2[[#This Row],[Nazwisko]]&amp;Table2[[#This Row],[Imię]]</f>
        <v>WieczorekNikola</v>
      </c>
      <c r="AA137" s="2">
        <f>COUNTIF(Z137:$Z$275,Z137)</f>
        <v>1</v>
      </c>
    </row>
    <row r="138" spans="1:27" hidden="1">
      <c r="A138" s="4" t="s">
        <v>247</v>
      </c>
      <c r="B138" s="4" t="s">
        <v>248</v>
      </c>
      <c r="C138" s="2" t="s">
        <v>179</v>
      </c>
      <c r="D138" s="2" t="s">
        <v>27</v>
      </c>
      <c r="E138" s="2" t="s">
        <v>27</v>
      </c>
      <c r="G138" s="4">
        <v>50</v>
      </c>
      <c r="K138" s="4">
        <v>300</v>
      </c>
      <c r="T138" s="4">
        <f t="shared" si="9"/>
        <v>350</v>
      </c>
      <c r="U138" s="36">
        <f>IF(Table2[[#This Row],[Nazwisko]]="","",IF(AND(D138="Nie",E138="Nie"),0,IF(AND(D138="Tak",E138="Nie"),Podsumowanie!$B$19,Podsumowanie!$C$19)))</f>
        <v>700</v>
      </c>
      <c r="V138" s="4">
        <f t="shared" si="7"/>
        <v>-350</v>
      </c>
      <c r="W138" s="55" t="str">
        <f t="shared" si="8"/>
        <v>NOK</v>
      </c>
      <c r="X138" s="4"/>
      <c r="Z138" s="4" t="str">
        <f>Table2[[#This Row],[Nazwisko]]&amp;Table2[[#This Row],[Imię]]</f>
        <v>CzarneckaDagmara</v>
      </c>
      <c r="AA138" s="2">
        <f>COUNTIF(Z138:$Z$275,Z138)</f>
        <v>1</v>
      </c>
    </row>
    <row r="139" spans="1:27" hidden="1">
      <c r="A139" s="4" t="s">
        <v>249</v>
      </c>
      <c r="B139" s="4" t="s">
        <v>63</v>
      </c>
      <c r="C139" s="2" t="s">
        <v>179</v>
      </c>
      <c r="D139" s="2" t="s">
        <v>27</v>
      </c>
      <c r="E139" s="2" t="s">
        <v>27</v>
      </c>
      <c r="G139" s="4">
        <v>50</v>
      </c>
      <c r="K139" s="4">
        <v>100</v>
      </c>
      <c r="L139" s="4">
        <v>100</v>
      </c>
      <c r="T139" s="4">
        <f t="shared" si="9"/>
        <v>250</v>
      </c>
      <c r="U139" s="36">
        <f>IF(Table2[[#This Row],[Nazwisko]]="","",IF(AND(D139="Nie",E139="Nie"),0,IF(AND(D139="Tak",E139="Nie"),Podsumowanie!$B$19,Podsumowanie!$C$19)))</f>
        <v>700</v>
      </c>
      <c r="V139" s="4">
        <f t="shared" si="7"/>
        <v>-450</v>
      </c>
      <c r="W139" s="55" t="str">
        <f t="shared" si="8"/>
        <v>NOK</v>
      </c>
      <c r="X139" s="4"/>
      <c r="Z139" s="4" t="str">
        <f>Table2[[#This Row],[Nazwisko]]&amp;Table2[[#This Row],[Imię]]</f>
        <v>ZielińskaMaja</v>
      </c>
      <c r="AA139" s="2">
        <f>COUNTIF(Z139:$Z$275,Z139)</f>
        <v>1</v>
      </c>
    </row>
    <row r="140" spans="1:27" hidden="1">
      <c r="A140" s="4" t="s">
        <v>250</v>
      </c>
      <c r="B140" s="4" t="s">
        <v>59</v>
      </c>
      <c r="C140" s="2" t="s">
        <v>179</v>
      </c>
      <c r="D140" s="2" t="s">
        <v>27</v>
      </c>
      <c r="E140" s="2" t="s">
        <v>27</v>
      </c>
      <c r="G140" s="4">
        <v>50</v>
      </c>
      <c r="K140" s="4">
        <v>100</v>
      </c>
      <c r="L140" s="4">
        <v>100</v>
      </c>
      <c r="T140" s="4">
        <f t="shared" si="9"/>
        <v>250</v>
      </c>
      <c r="U140" s="36">
        <f>IF(Table2[[#This Row],[Nazwisko]]="","",IF(AND(D140="Nie",E140="Nie"),0,IF(AND(D140="Tak",E140="Nie"),Podsumowanie!$B$19,Podsumowanie!$C$19)))</f>
        <v>700</v>
      </c>
      <c r="V140" s="4">
        <f t="shared" si="7"/>
        <v>-450</v>
      </c>
      <c r="W140" s="55" t="str">
        <f t="shared" si="8"/>
        <v>NOK</v>
      </c>
      <c r="X140" s="4"/>
      <c r="Z140" s="4" t="str">
        <f>Table2[[#This Row],[Nazwisko]]&amp;Table2[[#This Row],[Imię]]</f>
        <v>GoździkowskaNatalia</v>
      </c>
      <c r="AA140" s="2">
        <f>COUNTIF(Z140:$Z$275,Z140)</f>
        <v>1</v>
      </c>
    </row>
    <row r="141" spans="1:27" hidden="1">
      <c r="A141" s="4" t="s">
        <v>251</v>
      </c>
      <c r="B141" s="4" t="s">
        <v>78</v>
      </c>
      <c r="C141" s="2" t="s">
        <v>179</v>
      </c>
      <c r="D141" s="2" t="s">
        <v>27</v>
      </c>
      <c r="E141" s="2" t="s">
        <v>27</v>
      </c>
      <c r="G141" s="4">
        <v>50</v>
      </c>
      <c r="K141" s="4">
        <v>100</v>
      </c>
      <c r="T141" s="4">
        <f t="shared" si="9"/>
        <v>150</v>
      </c>
      <c r="U141" s="36">
        <f>IF(Table2[[#This Row],[Nazwisko]]="","",IF(AND(D141="Nie",E141="Nie"),0,IF(AND(D141="Tak",E141="Nie"),Podsumowanie!$B$19,Podsumowanie!$C$19)))</f>
        <v>700</v>
      </c>
      <c r="V141" s="4">
        <f t="shared" si="7"/>
        <v>-550</v>
      </c>
      <c r="W141" s="55" t="str">
        <f t="shared" si="8"/>
        <v>NOK</v>
      </c>
      <c r="X141" s="4"/>
      <c r="Z141" s="4" t="str">
        <f>Table2[[#This Row],[Nazwisko]]&amp;Table2[[#This Row],[Imię]]</f>
        <v>MajkowskaZuzanna</v>
      </c>
      <c r="AA141" s="2">
        <f>COUNTIF(Z141:$Z$275,Z141)</f>
        <v>1</v>
      </c>
    </row>
    <row r="142" spans="1:27" hidden="1">
      <c r="A142" s="4" t="s">
        <v>252</v>
      </c>
      <c r="B142" s="4" t="s">
        <v>73</v>
      </c>
      <c r="C142" s="2" t="s">
        <v>179</v>
      </c>
      <c r="D142" s="2" t="s">
        <v>27</v>
      </c>
      <c r="E142" s="2" t="s">
        <v>27</v>
      </c>
      <c r="G142" s="4">
        <v>50</v>
      </c>
      <c r="K142" s="4">
        <v>100</v>
      </c>
      <c r="T142" s="4">
        <f t="shared" si="9"/>
        <v>150</v>
      </c>
      <c r="U142" s="36">
        <f>IF(Table2[[#This Row],[Nazwisko]]="","",IF(AND(D142="Nie",E142="Nie"),0,IF(AND(D142="Tak",E142="Nie"),Podsumowanie!$B$19,Podsumowanie!$C$19)))</f>
        <v>700</v>
      </c>
      <c r="V142" s="4">
        <f t="shared" si="7"/>
        <v>-550</v>
      </c>
      <c r="W142" s="55" t="str">
        <f t="shared" si="8"/>
        <v>NOK</v>
      </c>
      <c r="X142" s="4"/>
      <c r="Z142" s="4" t="str">
        <f>Table2[[#This Row],[Nazwisko]]&amp;Table2[[#This Row],[Imię]]</f>
        <v>MichalskaJulia</v>
      </c>
      <c r="AA142" s="2">
        <f>COUNTIF(Z142:$Z$275,Z142)</f>
        <v>1</v>
      </c>
    </row>
    <row r="143" spans="1:27" hidden="1">
      <c r="A143" s="4" t="s">
        <v>253</v>
      </c>
      <c r="B143" s="4" t="s">
        <v>35</v>
      </c>
      <c r="C143" s="2" t="s">
        <v>179</v>
      </c>
      <c r="D143" s="2" t="s">
        <v>27</v>
      </c>
      <c r="E143" s="2" t="s">
        <v>33</v>
      </c>
      <c r="G143" s="4">
        <v>50</v>
      </c>
      <c r="K143" s="4">
        <v>100</v>
      </c>
      <c r="L143" s="4">
        <v>100</v>
      </c>
      <c r="T143" s="4">
        <f t="shared" si="9"/>
        <v>250</v>
      </c>
      <c r="U143" s="36">
        <f>IF(Table2[[#This Row],[Nazwisko]]="","",IF(AND(D143="Nie",E143="Nie"),0,IF(AND(D143="Tak",E143="Nie"),Podsumowanie!$B$19,Podsumowanie!$C$19)))</f>
        <v>430</v>
      </c>
      <c r="V143" s="4">
        <f t="shared" si="7"/>
        <v>-180</v>
      </c>
      <c r="W143" s="55" t="str">
        <f t="shared" si="8"/>
        <v>NOK</v>
      </c>
      <c r="X143" s="4"/>
      <c r="Z143" s="4" t="str">
        <f>Table2[[#This Row],[Nazwisko]]&amp;Table2[[#This Row],[Imię]]</f>
        <v>GrzybowskaAleksandra</v>
      </c>
      <c r="AA143" s="2">
        <f>COUNTIF(Z143:$Z$275,Z143)</f>
        <v>1</v>
      </c>
    </row>
    <row r="144" spans="1:27" hidden="1">
      <c r="A144" s="4" t="s">
        <v>254</v>
      </c>
      <c r="B144" s="4" t="s">
        <v>31</v>
      </c>
      <c r="C144" s="2" t="s">
        <v>32</v>
      </c>
      <c r="D144" s="2" t="s">
        <v>27</v>
      </c>
      <c r="E144" s="2" t="s">
        <v>27</v>
      </c>
      <c r="G144" s="4">
        <v>50</v>
      </c>
      <c r="Q144" s="4">
        <v>200</v>
      </c>
      <c r="T144" s="4">
        <f t="shared" si="9"/>
        <v>250</v>
      </c>
      <c r="U144" s="36">
        <f>IF(Table2[[#This Row],[Nazwisko]]="","",IF(AND(D144="Nie",E144="Nie"),0,IF(AND(D144="Tak",E144="Nie"),Podsumowanie!$B$19,Podsumowanie!$C$19)))</f>
        <v>700</v>
      </c>
      <c r="V144" s="4">
        <f t="shared" si="7"/>
        <v>-450</v>
      </c>
      <c r="W144" s="55" t="str">
        <f t="shared" si="8"/>
        <v>NOK</v>
      </c>
      <c r="X144" s="4"/>
      <c r="Z144" s="4" t="str">
        <f>Table2[[#This Row],[Nazwisko]]&amp;Table2[[#This Row],[Imię]]</f>
        <v>GurazdaMikołaj</v>
      </c>
      <c r="AA144" s="2">
        <f>COUNTIF(Z144:$Z$275,Z144)</f>
        <v>1</v>
      </c>
    </row>
    <row r="145" spans="1:27" hidden="1">
      <c r="A145" s="4" t="s">
        <v>255</v>
      </c>
      <c r="B145" s="4" t="s">
        <v>73</v>
      </c>
      <c r="C145" s="2" t="s">
        <v>179</v>
      </c>
      <c r="D145" s="2" t="s">
        <v>27</v>
      </c>
      <c r="E145" s="2" t="s">
        <v>27</v>
      </c>
      <c r="G145" s="4">
        <v>50</v>
      </c>
      <c r="K145" s="4">
        <v>100</v>
      </c>
      <c r="T145" s="4">
        <f t="shared" si="9"/>
        <v>150</v>
      </c>
      <c r="U145" s="36">
        <f>IF(Table2[[#This Row],[Nazwisko]]="","",IF(AND(D145="Nie",E145="Nie"),0,IF(AND(D145="Tak",E145="Nie"),Podsumowanie!$B$19,Podsumowanie!$C$19)))</f>
        <v>700</v>
      </c>
      <c r="V145" s="4">
        <f t="shared" si="7"/>
        <v>-550</v>
      </c>
      <c r="W145" s="55" t="str">
        <f t="shared" si="8"/>
        <v>NOK</v>
      </c>
      <c r="X145" s="4"/>
      <c r="Z145" s="4" t="str">
        <f>Table2[[#This Row],[Nazwisko]]&amp;Table2[[#This Row],[Imię]]</f>
        <v>NiebelskaJulia</v>
      </c>
      <c r="AA145" s="2">
        <f>COUNTIF(Z145:$Z$275,Z145)</f>
        <v>1</v>
      </c>
    </row>
    <row r="146" spans="1:27" hidden="1">
      <c r="A146" s="4" t="s">
        <v>256</v>
      </c>
      <c r="B146" s="4" t="s">
        <v>257</v>
      </c>
      <c r="C146" s="2" t="s">
        <v>179</v>
      </c>
      <c r="D146" s="2" t="s">
        <v>27</v>
      </c>
      <c r="E146" s="2" t="s">
        <v>27</v>
      </c>
      <c r="G146" s="4">
        <v>50</v>
      </c>
      <c r="K146" s="4">
        <v>100</v>
      </c>
      <c r="L146" s="4">
        <v>100</v>
      </c>
      <c r="T146" s="4">
        <f t="shared" si="9"/>
        <v>250</v>
      </c>
      <c r="U146" s="36">
        <f>IF(Table2[[#This Row],[Nazwisko]]="","",IF(AND(D146="Nie",E146="Nie"),0,IF(AND(D146="Tak",E146="Nie"),Podsumowanie!$B$19,Podsumowanie!$C$19)))</f>
        <v>700</v>
      </c>
      <c r="V146" s="4">
        <f t="shared" si="7"/>
        <v>-450</v>
      </c>
      <c r="W146" s="55" t="str">
        <f t="shared" si="8"/>
        <v>NOK</v>
      </c>
      <c r="X146" s="4"/>
      <c r="Z146" s="4" t="str">
        <f>Table2[[#This Row],[Nazwisko]]&amp;Table2[[#This Row],[Imię]]</f>
        <v>ZwierzyńskaKinga</v>
      </c>
      <c r="AA146" s="2">
        <f>COUNTIF(Z146:$Z$275,Z146)</f>
        <v>1</v>
      </c>
    </row>
    <row r="147" spans="1:27" hidden="1">
      <c r="A147" s="4" t="s">
        <v>258</v>
      </c>
      <c r="B147" s="4" t="s">
        <v>73</v>
      </c>
      <c r="C147" s="2" t="s">
        <v>179</v>
      </c>
      <c r="D147" s="2" t="s">
        <v>27</v>
      </c>
      <c r="E147" s="2" t="s">
        <v>27</v>
      </c>
      <c r="G147" s="4">
        <v>50</v>
      </c>
      <c r="K147" s="4">
        <v>100</v>
      </c>
      <c r="L147" s="4">
        <v>100</v>
      </c>
      <c r="T147" s="4">
        <f t="shared" si="9"/>
        <v>250</v>
      </c>
      <c r="U147" s="36">
        <f>IF(Table2[[#This Row],[Nazwisko]]="","",IF(AND(D147="Nie",E147="Nie"),0,IF(AND(D147="Tak",E147="Nie"),Podsumowanie!$B$19,Podsumowanie!$C$19)))</f>
        <v>700</v>
      </c>
      <c r="V147" s="4">
        <f t="shared" si="7"/>
        <v>-450</v>
      </c>
      <c r="W147" s="55" t="str">
        <f t="shared" si="8"/>
        <v>NOK</v>
      </c>
      <c r="X147" s="4"/>
      <c r="Z147" s="4" t="str">
        <f>Table2[[#This Row],[Nazwisko]]&amp;Table2[[#This Row],[Imię]]</f>
        <v>KrauzeJulia</v>
      </c>
      <c r="AA147" s="2">
        <f>COUNTIF(Z147:$Z$275,Z147)</f>
        <v>1</v>
      </c>
    </row>
    <row r="148" spans="1:27" hidden="1">
      <c r="A148" s="4" t="s">
        <v>259</v>
      </c>
      <c r="B148" s="4" t="s">
        <v>35</v>
      </c>
      <c r="C148" s="2" t="s">
        <v>179</v>
      </c>
      <c r="D148" s="2" t="s">
        <v>27</v>
      </c>
      <c r="E148" s="2" t="s">
        <v>27</v>
      </c>
      <c r="G148" s="4">
        <v>50</v>
      </c>
      <c r="K148" s="4">
        <v>100</v>
      </c>
      <c r="T148" s="4">
        <f t="shared" si="9"/>
        <v>150</v>
      </c>
      <c r="U148" s="36">
        <f>IF(Table2[[#This Row],[Nazwisko]]="","",IF(AND(D148="Nie",E148="Nie"),0,IF(AND(D148="Tak",E148="Nie"),Podsumowanie!$B$19,Podsumowanie!$C$19)))</f>
        <v>700</v>
      </c>
      <c r="V148" s="4">
        <f t="shared" si="7"/>
        <v>-550</v>
      </c>
      <c r="W148" s="55" t="str">
        <f t="shared" si="8"/>
        <v>NOK</v>
      </c>
      <c r="X148" s="4"/>
      <c r="Z148" s="4" t="str">
        <f>Table2[[#This Row],[Nazwisko]]&amp;Table2[[#This Row],[Imię]]</f>
        <v>NocuńAleksandra</v>
      </c>
      <c r="AA148" s="2">
        <f>COUNTIF(Z148:$Z$275,Z148)</f>
        <v>1</v>
      </c>
    </row>
    <row r="149" spans="1:27" hidden="1">
      <c r="A149" s="117" t="s">
        <v>72</v>
      </c>
      <c r="B149" s="4" t="s">
        <v>173</v>
      </c>
      <c r="C149" s="2" t="s">
        <v>188</v>
      </c>
      <c r="D149" s="2" t="s">
        <v>27</v>
      </c>
      <c r="E149" s="2" t="s">
        <v>33</v>
      </c>
      <c r="G149" s="4">
        <v>50</v>
      </c>
      <c r="K149" s="4">
        <v>100</v>
      </c>
      <c r="L149" s="4">
        <v>100</v>
      </c>
      <c r="T149" s="4">
        <f t="shared" si="9"/>
        <v>250</v>
      </c>
      <c r="U149" s="36">
        <f>IF(Table2[[#This Row],[Nazwisko]]="","",IF(AND(D149="Nie",E149="Nie"),0,IF(AND(D149="Tak",E149="Nie"),Podsumowanie!$B$19,Podsumowanie!$C$19)))</f>
        <v>430</v>
      </c>
      <c r="V149" s="4">
        <f t="shared" si="7"/>
        <v>-180</v>
      </c>
      <c r="W149" s="55" t="str">
        <f t="shared" si="8"/>
        <v>NOK</v>
      </c>
      <c r="X149" s="4"/>
      <c r="Z149" s="4" t="str">
        <f>Table2[[#This Row],[Nazwisko]]&amp;Table2[[#This Row],[Imię]]</f>
        <v>WinklerFilip</v>
      </c>
      <c r="AA149" s="2">
        <f>COUNTIF(Z149:$Z$275,Z149)</f>
        <v>1</v>
      </c>
    </row>
    <row r="150" spans="1:27" hidden="1">
      <c r="A150" s="4" t="s">
        <v>260</v>
      </c>
      <c r="B150" s="4" t="s">
        <v>29</v>
      </c>
      <c r="C150" s="2" t="s">
        <v>32</v>
      </c>
      <c r="D150" s="2" t="s">
        <v>27</v>
      </c>
      <c r="E150" s="2" t="s">
        <v>33</v>
      </c>
      <c r="G150" s="4">
        <v>50</v>
      </c>
      <c r="Q150" s="4">
        <v>200</v>
      </c>
      <c r="T150" s="4">
        <f t="shared" si="9"/>
        <v>250</v>
      </c>
      <c r="U150" s="36">
        <f>IF(Table2[[#This Row],[Nazwisko]]="","",IF(AND(D150="Nie",E150="Nie"),0,IF(AND(D150="Tak",E150="Nie"),Podsumowanie!$B$19,Podsumowanie!$C$19)))</f>
        <v>430</v>
      </c>
      <c r="V150" s="4">
        <f t="shared" si="7"/>
        <v>-180</v>
      </c>
      <c r="W150" s="55" t="str">
        <f t="shared" si="8"/>
        <v>NOK</v>
      </c>
      <c r="X150" s="4"/>
      <c r="Z150" s="4" t="str">
        <f>Table2[[#This Row],[Nazwisko]]&amp;Table2[[#This Row],[Imię]]</f>
        <v>MentekMartyna</v>
      </c>
      <c r="AA150" s="2">
        <f>COUNTIF(Z150:$Z$275,Z150)</f>
        <v>1</v>
      </c>
    </row>
    <row r="151" spans="1:27" hidden="1">
      <c r="A151" s="4" t="s">
        <v>261</v>
      </c>
      <c r="B151" s="4" t="s">
        <v>262</v>
      </c>
      <c r="C151" s="2" t="s">
        <v>179</v>
      </c>
      <c r="D151" s="2" t="s">
        <v>27</v>
      </c>
      <c r="E151" s="2" t="s">
        <v>27</v>
      </c>
      <c r="G151" s="4">
        <v>50</v>
      </c>
      <c r="K151" s="4">
        <v>100</v>
      </c>
      <c r="L151" s="4">
        <v>100</v>
      </c>
      <c r="T151" s="4">
        <f t="shared" si="9"/>
        <v>250</v>
      </c>
      <c r="U151" s="36">
        <f>IF(Table2[[#This Row],[Nazwisko]]="","",IF(AND(D151="Nie",E151="Nie"),0,IF(AND(D151="Tak",E151="Nie"),Podsumowanie!$B$19,Podsumowanie!$C$19)))</f>
        <v>700</v>
      </c>
      <c r="V151" s="4">
        <f t="shared" si="7"/>
        <v>-450</v>
      </c>
      <c r="W151" s="55" t="str">
        <f t="shared" si="8"/>
        <v>NOK</v>
      </c>
      <c r="X151" s="4"/>
      <c r="Z151" s="4" t="str">
        <f>Table2[[#This Row],[Nazwisko]]&amp;Table2[[#This Row],[Imię]]</f>
        <v>JabłeckaAlicja</v>
      </c>
      <c r="AA151" s="2">
        <f>COUNTIF(Z151:$Z$275,Z151)</f>
        <v>1</v>
      </c>
    </row>
    <row r="152" spans="1:27">
      <c r="A152" s="4" t="s">
        <v>86</v>
      </c>
      <c r="B152" s="4" t="s">
        <v>263</v>
      </c>
      <c r="C152" s="2" t="s">
        <v>87</v>
      </c>
      <c r="D152" s="2" t="s">
        <v>27</v>
      </c>
      <c r="E152" s="2" t="s">
        <v>33</v>
      </c>
      <c r="G152" s="4">
        <v>50</v>
      </c>
      <c r="P152" s="4">
        <v>100</v>
      </c>
      <c r="Q152" s="4">
        <v>100</v>
      </c>
      <c r="T152" s="4">
        <f t="shared" si="9"/>
        <v>250</v>
      </c>
      <c r="U152" s="36">
        <f>IF(Table2[[#This Row],[Nazwisko]]="","",IF(AND(D152="Nie",E152="Nie"),0,IF(AND(D152="Tak",E152="Nie"),Podsumowanie!$B$19,Podsumowanie!$C$19)))</f>
        <v>430</v>
      </c>
      <c r="V152" s="4">
        <f t="shared" si="7"/>
        <v>-180</v>
      </c>
      <c r="W152" s="55" t="str">
        <f t="shared" si="8"/>
        <v>NOK</v>
      </c>
      <c r="X152" s="4"/>
      <c r="Z152" s="4" t="str">
        <f>Table2[[#This Row],[Nazwisko]]&amp;Table2[[#This Row],[Imię]]</f>
        <v>KowalczykMarcin</v>
      </c>
      <c r="AA152" s="2">
        <f>COUNTIF(Z152:$Z$275,Z152)</f>
        <v>1</v>
      </c>
    </row>
    <row r="153" spans="1:27" hidden="1">
      <c r="A153" s="4" t="s">
        <v>160</v>
      </c>
      <c r="B153" s="4" t="s">
        <v>264</v>
      </c>
      <c r="C153" s="2" t="s">
        <v>53</v>
      </c>
      <c r="D153" s="2" t="s">
        <v>27</v>
      </c>
      <c r="E153" s="2" t="s">
        <v>33</v>
      </c>
      <c r="G153" s="4">
        <v>50</v>
      </c>
      <c r="Q153" s="4">
        <v>100</v>
      </c>
      <c r="T153" s="4">
        <f t="shared" si="9"/>
        <v>150</v>
      </c>
      <c r="U153" s="36">
        <f>IF(Table2[[#This Row],[Nazwisko]]="","",IF(AND(D153="Nie",E153="Nie"),0,IF(AND(D153="Tak",E153="Nie"),Podsumowanie!$B$19,Podsumowanie!$C$19)))</f>
        <v>430</v>
      </c>
      <c r="V153" s="4">
        <f t="shared" si="7"/>
        <v>-280</v>
      </c>
      <c r="W153" s="55" t="str">
        <f t="shared" si="8"/>
        <v>NOK</v>
      </c>
      <c r="X153" s="4"/>
      <c r="Z153" s="4" t="str">
        <f>Table2[[#This Row],[Nazwisko]]&amp;Table2[[#This Row],[Imię]]</f>
        <v>PioruńskiOliwer</v>
      </c>
      <c r="AA153" s="2">
        <f>COUNTIF(Z153:$Z$275,Z153)</f>
        <v>1</v>
      </c>
    </row>
    <row r="154" spans="1:27" hidden="1">
      <c r="A154" s="4" t="s">
        <v>265</v>
      </c>
      <c r="B154" s="4" t="s">
        <v>266</v>
      </c>
      <c r="C154" s="2" t="s">
        <v>179</v>
      </c>
      <c r="D154" s="2" t="s">
        <v>27</v>
      </c>
      <c r="E154" s="2" t="s">
        <v>27</v>
      </c>
      <c r="G154" s="4">
        <v>50</v>
      </c>
      <c r="K154" s="4">
        <v>100</v>
      </c>
      <c r="L154" s="4">
        <v>100</v>
      </c>
      <c r="T154" s="4">
        <f t="shared" si="9"/>
        <v>250</v>
      </c>
      <c r="U154" s="36">
        <f>IF(Table2[[#This Row],[Nazwisko]]="","",IF(AND(D154="Nie",E154="Nie"),0,IF(AND(D154="Tak",E154="Nie"),Podsumowanie!$B$19,Podsumowanie!$C$19)))</f>
        <v>700</v>
      </c>
      <c r="V154" s="4">
        <f t="shared" si="7"/>
        <v>-450</v>
      </c>
      <c r="W154" s="55" t="str">
        <f t="shared" si="8"/>
        <v>NOK</v>
      </c>
      <c r="X154" s="4"/>
      <c r="Z154" s="4" t="str">
        <f>Table2[[#This Row],[Nazwisko]]&amp;Table2[[#This Row],[Imię]]</f>
        <v>MaligłówkaKamila</v>
      </c>
      <c r="AA154" s="2">
        <f>COUNTIF(Z154:$Z$275,Z154)</f>
        <v>1</v>
      </c>
    </row>
    <row r="155" spans="1:27" hidden="1">
      <c r="A155" s="4" t="s">
        <v>267</v>
      </c>
      <c r="B155" s="4" t="s">
        <v>173</v>
      </c>
      <c r="C155" s="2" t="s">
        <v>32</v>
      </c>
      <c r="D155" s="2" t="s">
        <v>27</v>
      </c>
      <c r="E155" s="2" t="s">
        <v>27</v>
      </c>
      <c r="G155" s="4">
        <v>50</v>
      </c>
      <c r="Q155" s="4">
        <v>200</v>
      </c>
      <c r="T155" s="4">
        <f t="shared" si="9"/>
        <v>250</v>
      </c>
      <c r="U155" s="36">
        <f>IF(Table2[[#This Row],[Nazwisko]]="","",IF(AND(D155="Nie",E155="Nie"),0,IF(AND(D155="Tak",E155="Nie"),Podsumowanie!$B$19,Podsumowanie!$C$19)))</f>
        <v>700</v>
      </c>
      <c r="V155" s="4">
        <f t="shared" si="7"/>
        <v>-450</v>
      </c>
      <c r="W155" s="55" t="str">
        <f t="shared" si="8"/>
        <v>NOK</v>
      </c>
      <c r="X155" s="4"/>
      <c r="Z155" s="4" t="str">
        <f>Table2[[#This Row],[Nazwisko]]&amp;Table2[[#This Row],[Imię]]</f>
        <v>SkupińskiFilip</v>
      </c>
      <c r="AA155" s="2">
        <f>COUNTIF(Z155:$Z$275,Z155)</f>
        <v>1</v>
      </c>
    </row>
    <row r="156" spans="1:27" hidden="1">
      <c r="A156" s="117" t="s">
        <v>268</v>
      </c>
      <c r="B156" s="4" t="s">
        <v>161</v>
      </c>
      <c r="C156" s="2" t="s">
        <v>188</v>
      </c>
      <c r="D156" s="2" t="s">
        <v>27</v>
      </c>
      <c r="E156" s="2" t="s">
        <v>33</v>
      </c>
      <c r="G156" s="4">
        <v>50</v>
      </c>
      <c r="K156" s="4">
        <v>100</v>
      </c>
      <c r="L156" s="4">
        <v>100</v>
      </c>
      <c r="T156" s="4">
        <f t="shared" si="9"/>
        <v>250</v>
      </c>
      <c r="U156" s="36">
        <f>IF(Table2[[#This Row],[Nazwisko]]="","",IF(AND(D156="Nie",E156="Nie"),0,IF(AND(D156="Tak",E156="Nie"),Podsumowanie!$B$19,Podsumowanie!$C$19)))</f>
        <v>430</v>
      </c>
      <c r="V156" s="4">
        <f t="shared" si="7"/>
        <v>-180</v>
      </c>
      <c r="W156" s="55" t="str">
        <f t="shared" si="8"/>
        <v>NOK</v>
      </c>
      <c r="X156" s="4"/>
      <c r="Z156" s="4" t="str">
        <f>Table2[[#This Row],[Nazwisko]]&amp;Table2[[#This Row],[Imię]]</f>
        <v>MłynarzWojciech</v>
      </c>
      <c r="AA156" s="2">
        <f>COUNTIF(Z156:$Z$275,Z156)</f>
        <v>1</v>
      </c>
    </row>
    <row r="157" spans="1:27" hidden="1">
      <c r="A157" s="4" t="s">
        <v>269</v>
      </c>
      <c r="B157" s="4" t="s">
        <v>67</v>
      </c>
      <c r="C157" s="2" t="s">
        <v>179</v>
      </c>
      <c r="D157" s="2" t="s">
        <v>33</v>
      </c>
      <c r="E157" s="2" t="s">
        <v>33</v>
      </c>
      <c r="T157" s="4">
        <f t="shared" si="9"/>
        <v>0</v>
      </c>
      <c r="U157" s="36">
        <f>IF(Table2[[#This Row],[Nazwisko]]="","",IF(AND(D157="Nie",E157="Nie"),0,IF(AND(D157="Tak",E157="Nie"),Podsumowanie!$B$19,Podsumowanie!$C$19)))</f>
        <v>0</v>
      </c>
      <c r="V157" s="4">
        <f t="shared" si="7"/>
        <v>0</v>
      </c>
      <c r="W157" s="55" t="str">
        <f t="shared" si="8"/>
        <v/>
      </c>
      <c r="X157" s="4"/>
      <c r="Z157" s="4" t="str">
        <f>Table2[[#This Row],[Nazwisko]]&amp;Table2[[#This Row],[Imię]]</f>
        <v>BorowiecIga</v>
      </c>
      <c r="AA157" s="2">
        <f>COUNTIF(Z157:$Z$275,Z157)</f>
        <v>1</v>
      </c>
    </row>
    <row r="158" spans="1:27" hidden="1">
      <c r="A158" s="4" t="s">
        <v>270</v>
      </c>
      <c r="B158" s="4" t="s">
        <v>29</v>
      </c>
      <c r="C158" s="2" t="s">
        <v>179</v>
      </c>
      <c r="D158" s="2" t="s">
        <v>27</v>
      </c>
      <c r="E158" s="2" t="s">
        <v>33</v>
      </c>
      <c r="G158" s="4">
        <v>50</v>
      </c>
      <c r="K158" s="4">
        <v>100</v>
      </c>
      <c r="T158" s="4">
        <f t="shared" si="9"/>
        <v>150</v>
      </c>
      <c r="U158" s="36">
        <f>IF(Table2[[#This Row],[Nazwisko]]="","",IF(AND(D158="Nie",E158="Nie"),0,IF(AND(D158="Tak",E158="Nie"),Podsumowanie!$B$19,Podsumowanie!$C$19)))</f>
        <v>430</v>
      </c>
      <c r="V158" s="4">
        <f t="shared" si="7"/>
        <v>-280</v>
      </c>
      <c r="W158" s="55" t="str">
        <f t="shared" si="8"/>
        <v>NOK</v>
      </c>
      <c r="X158" s="4"/>
      <c r="Z158" s="4" t="str">
        <f>Table2[[#This Row],[Nazwisko]]&amp;Table2[[#This Row],[Imię]]</f>
        <v>KopcikMartyna</v>
      </c>
      <c r="AA158" s="2">
        <f>COUNTIF(Z158:$Z$275,Z158)</f>
        <v>1</v>
      </c>
    </row>
    <row r="159" spans="1:27">
      <c r="A159" s="4" t="s">
        <v>271</v>
      </c>
      <c r="B159" s="4" t="s">
        <v>272</v>
      </c>
      <c r="C159" s="2" t="s">
        <v>87</v>
      </c>
      <c r="D159" s="2" t="s">
        <v>27</v>
      </c>
      <c r="E159" s="2" t="s">
        <v>33</v>
      </c>
      <c r="G159" s="4">
        <v>50</v>
      </c>
      <c r="P159" s="4">
        <v>100</v>
      </c>
      <c r="Q159" s="4">
        <v>100</v>
      </c>
      <c r="T159" s="4">
        <f t="shared" si="9"/>
        <v>250</v>
      </c>
      <c r="U159" s="36">
        <f>IF(Table2[[#This Row],[Nazwisko]]="","",IF(AND(D159="Nie",E159="Nie"),0,IF(AND(D159="Tak",E159="Nie"),Podsumowanie!$B$19,Podsumowanie!$C$19)))</f>
        <v>430</v>
      </c>
      <c r="V159" s="4">
        <f t="shared" si="7"/>
        <v>-180</v>
      </c>
      <c r="W159" s="55" t="str">
        <f t="shared" si="8"/>
        <v>NOK</v>
      </c>
      <c r="X159" s="4"/>
      <c r="Z159" s="4" t="str">
        <f>Table2[[#This Row],[Nazwisko]]&amp;Table2[[#This Row],[Imię]]</f>
        <v>DratwińskiHubert</v>
      </c>
      <c r="AA159" s="2">
        <f>COUNTIF(Z159:$Z$275,Z159)</f>
        <v>1</v>
      </c>
    </row>
    <row r="160" spans="1:27" hidden="1">
      <c r="A160" s="4" t="s">
        <v>273</v>
      </c>
      <c r="B160" s="4" t="s">
        <v>80</v>
      </c>
      <c r="C160" s="2" t="s">
        <v>113</v>
      </c>
      <c r="D160" s="2" t="s">
        <v>27</v>
      </c>
      <c r="E160" s="2" t="s">
        <v>33</v>
      </c>
      <c r="G160" s="4">
        <v>50</v>
      </c>
      <c r="T160" s="4">
        <f t="shared" si="9"/>
        <v>50</v>
      </c>
      <c r="U160" s="36">
        <f>IF(Table2[[#This Row],[Nazwisko]]="","",IF(AND(D160="Nie",E160="Nie"),0,IF(AND(D160="Tak",E160="Nie"),Podsumowanie!$B$19,Podsumowanie!$C$19)))</f>
        <v>430</v>
      </c>
      <c r="V160" s="4">
        <f t="shared" si="7"/>
        <v>-380</v>
      </c>
      <c r="W160" s="55" t="str">
        <f t="shared" si="8"/>
        <v>NOK</v>
      </c>
      <c r="X160" s="4"/>
      <c r="Z160" s="4" t="str">
        <f>Table2[[#This Row],[Nazwisko]]&amp;Table2[[#This Row],[Imię]]</f>
        <v>WtorkowskiSzymon</v>
      </c>
      <c r="AA160" s="2">
        <f>COUNTIF(Z160:$Z$275,Z160)</f>
        <v>1</v>
      </c>
    </row>
    <row r="161" spans="1:27" hidden="1">
      <c r="A161" s="4" t="s">
        <v>154</v>
      </c>
      <c r="B161" s="4" t="s">
        <v>37</v>
      </c>
      <c r="C161" s="2" t="s">
        <v>113</v>
      </c>
      <c r="D161" s="2" t="s">
        <v>27</v>
      </c>
      <c r="E161" s="2" t="s">
        <v>33</v>
      </c>
      <c r="G161" s="4">
        <v>50</v>
      </c>
      <c r="T161" s="4">
        <f t="shared" si="9"/>
        <v>50</v>
      </c>
      <c r="U161" s="36">
        <f>IF(Table2[[#This Row],[Nazwisko]]="","",IF(AND(D161="Nie",E161="Nie"),0,IF(AND(D161="Tak",E161="Nie"),Podsumowanie!$B$19,Podsumowanie!$C$19)))</f>
        <v>430</v>
      </c>
      <c r="V161" s="4">
        <f t="shared" si="7"/>
        <v>-380</v>
      </c>
      <c r="W161" s="55" t="str">
        <f t="shared" si="8"/>
        <v>NOK</v>
      </c>
      <c r="X161" s="4"/>
      <c r="Z161" s="4" t="str">
        <f>Table2[[#This Row],[Nazwisko]]&amp;Table2[[#This Row],[Imię]]</f>
        <v>MielczarekPatrycja</v>
      </c>
      <c r="AA161" s="2">
        <f>COUNTIF(Z161:$Z$275,Z161)</f>
        <v>1</v>
      </c>
    </row>
    <row r="162" spans="1:27">
      <c r="A162" s="4" t="s">
        <v>86</v>
      </c>
      <c r="B162" s="4" t="s">
        <v>226</v>
      </c>
      <c r="C162" s="2" t="s">
        <v>87</v>
      </c>
      <c r="D162" s="2" t="s">
        <v>27</v>
      </c>
      <c r="E162" s="2" t="s">
        <v>27</v>
      </c>
      <c r="G162" s="4">
        <v>50</v>
      </c>
      <c r="P162" s="4">
        <v>100</v>
      </c>
      <c r="Q162" s="4">
        <v>200</v>
      </c>
      <c r="T162" s="4">
        <f t="shared" si="9"/>
        <v>350</v>
      </c>
      <c r="U162" s="36">
        <f>IF(Table2[[#This Row],[Nazwisko]]="","",IF(AND(D162="Nie",E162="Nie"),0,IF(AND(D162="Tak",E162="Nie"),Podsumowanie!$B$19,Podsumowanie!$C$19)))</f>
        <v>700</v>
      </c>
      <c r="V162" s="4">
        <f t="shared" si="7"/>
        <v>-350</v>
      </c>
      <c r="W162" s="55" t="str">
        <f t="shared" si="8"/>
        <v>NOK</v>
      </c>
      <c r="X162" s="4"/>
      <c r="Z162" s="4" t="str">
        <f>Table2[[#This Row],[Nazwisko]]&amp;Table2[[#This Row],[Imię]]</f>
        <v>KowalczykAmelia</v>
      </c>
      <c r="AA162" s="2">
        <f>COUNTIF(Z162:$Z$275,Z162)</f>
        <v>1</v>
      </c>
    </row>
    <row r="163" spans="1:27" hidden="1">
      <c r="A163" s="4" t="s">
        <v>274</v>
      </c>
      <c r="B163" s="4" t="s">
        <v>73</v>
      </c>
      <c r="C163" s="2" t="s">
        <v>113</v>
      </c>
      <c r="D163" s="2" t="s">
        <v>27</v>
      </c>
      <c r="E163" s="2" t="s">
        <v>33</v>
      </c>
      <c r="F163" s="2" t="s">
        <v>117</v>
      </c>
      <c r="G163" s="4">
        <v>50</v>
      </c>
      <c r="T163" s="4">
        <f t="shared" si="9"/>
        <v>50</v>
      </c>
      <c r="U163" s="36">
        <f>IF(Table2[[#This Row],[Nazwisko]]="","",IF(AND(D163="Nie",E163="Nie"),0,IF(AND(D163="Tak",E163="Nie"),Podsumowanie!$B$19,Podsumowanie!$C$19)))</f>
        <v>430</v>
      </c>
      <c r="V163" s="4">
        <f t="shared" si="7"/>
        <v>-380</v>
      </c>
      <c r="W163" s="55" t="str">
        <f t="shared" si="8"/>
        <v>NOK</v>
      </c>
      <c r="X163" s="4"/>
      <c r="Z163" s="4" t="str">
        <f>Table2[[#This Row],[Nazwisko]]&amp;Table2[[#This Row],[Imię]]</f>
        <v>ZawadzkaJulia</v>
      </c>
      <c r="AA163" s="2">
        <f>COUNTIF(Z163:$Z$275,Z163)</f>
        <v>1</v>
      </c>
    </row>
    <row r="164" spans="1:27" hidden="1">
      <c r="A164" s="4" t="s">
        <v>275</v>
      </c>
      <c r="B164" s="4" t="s">
        <v>44</v>
      </c>
      <c r="C164" s="2" t="s">
        <v>113</v>
      </c>
      <c r="D164" s="2" t="s">
        <v>27</v>
      </c>
      <c r="E164" s="2" t="s">
        <v>27</v>
      </c>
      <c r="F164" s="2" t="s">
        <v>276</v>
      </c>
      <c r="G164" s="4">
        <v>50</v>
      </c>
      <c r="T164" s="4">
        <f t="shared" si="9"/>
        <v>50</v>
      </c>
      <c r="U164" s="36">
        <f>IF(Table2[[#This Row],[Nazwisko]]="","",IF(AND(D164="Nie",E164="Nie"),0,IF(AND(D164="Tak",E164="Nie"),Podsumowanie!$B$19,Podsumowanie!$C$19)))</f>
        <v>700</v>
      </c>
      <c r="V164" s="4">
        <f t="shared" si="7"/>
        <v>-650</v>
      </c>
      <c r="W164" s="55" t="str">
        <f t="shared" si="8"/>
        <v>NOK</v>
      </c>
      <c r="X164" s="4"/>
      <c r="Z164" s="4" t="str">
        <f>Table2[[#This Row],[Nazwisko]]&amp;Table2[[#This Row],[Imię]]</f>
        <v>SzablewskiJakub</v>
      </c>
      <c r="AA164" s="2">
        <f>COUNTIF(Z164:$Z$275,Z164)</f>
        <v>1</v>
      </c>
    </row>
    <row r="165" spans="1:27" hidden="1">
      <c r="A165" s="4" t="s">
        <v>277</v>
      </c>
      <c r="B165" s="4" t="s">
        <v>29</v>
      </c>
      <c r="C165" s="2" t="s">
        <v>53</v>
      </c>
      <c r="D165" s="2" t="s">
        <v>27</v>
      </c>
      <c r="E165" s="2" t="s">
        <v>33</v>
      </c>
      <c r="G165" s="4">
        <v>50</v>
      </c>
      <c r="Q165" s="4">
        <v>200</v>
      </c>
      <c r="T165" s="4">
        <f t="shared" si="9"/>
        <v>250</v>
      </c>
      <c r="U165" s="36">
        <f>IF(Table2[[#This Row],[Nazwisko]]="","",IF(AND(D165="Nie",E165="Nie"),0,IF(AND(D165="Tak",E165="Nie"),Podsumowanie!$B$19,Podsumowanie!$C$19)))</f>
        <v>430</v>
      </c>
      <c r="V165" s="4">
        <f t="shared" si="7"/>
        <v>-180</v>
      </c>
      <c r="W165" s="55" t="str">
        <f t="shared" si="8"/>
        <v>NOK</v>
      </c>
      <c r="X165" s="4"/>
      <c r="Z165" s="4" t="str">
        <f>Table2[[#This Row],[Nazwisko]]&amp;Table2[[#This Row],[Imię]]</f>
        <v>PlutaMartyna</v>
      </c>
      <c r="AA165" s="2">
        <f>COUNTIF(Z165:$Z$275,Z165)</f>
        <v>1</v>
      </c>
    </row>
    <row r="166" spans="1:27" hidden="1">
      <c r="A166" s="4" t="s">
        <v>278</v>
      </c>
      <c r="B166" s="4" t="s">
        <v>279</v>
      </c>
      <c r="C166" s="2" t="s">
        <v>53</v>
      </c>
      <c r="D166" s="2" t="s">
        <v>27</v>
      </c>
      <c r="E166" s="2" t="s">
        <v>27</v>
      </c>
      <c r="G166" s="4">
        <v>50</v>
      </c>
      <c r="Q166" s="4">
        <v>200</v>
      </c>
      <c r="T166" s="4">
        <f t="shared" ref="T166:T184" si="10">SUM(G166:S166)</f>
        <v>250</v>
      </c>
      <c r="U166" s="36">
        <f>IF(Table2[[#This Row],[Nazwisko]]="","",IF(AND(D166="Nie",E166="Nie"),0,IF(AND(D166="Tak",E166="Nie"),Podsumowanie!$B$19,Podsumowanie!$C$19)))</f>
        <v>700</v>
      </c>
      <c r="V166" s="4">
        <f t="shared" si="7"/>
        <v>-450</v>
      </c>
      <c r="W166" s="55" t="str">
        <f t="shared" si="8"/>
        <v>NOK</v>
      </c>
      <c r="X166" s="4"/>
      <c r="Z166" s="4" t="str">
        <f>Table2[[#This Row],[Nazwisko]]&amp;Table2[[#This Row],[Imię]]</f>
        <v>MazurAda</v>
      </c>
      <c r="AA166" s="2">
        <f>COUNTIF(Z166:$Z$275,Z166)</f>
        <v>1</v>
      </c>
    </row>
    <row r="167" spans="1:27" hidden="1">
      <c r="A167" s="4" t="s">
        <v>280</v>
      </c>
      <c r="B167" s="4" t="s">
        <v>73</v>
      </c>
      <c r="C167" s="2" t="s">
        <v>53</v>
      </c>
      <c r="D167" s="2" t="s">
        <v>27</v>
      </c>
      <c r="E167" s="2" t="s">
        <v>33</v>
      </c>
      <c r="G167" s="4">
        <v>50</v>
      </c>
      <c r="Q167" s="4">
        <v>100</v>
      </c>
      <c r="T167" s="4">
        <f t="shared" si="10"/>
        <v>150</v>
      </c>
      <c r="U167" s="36">
        <f>IF(Table2[[#This Row],[Nazwisko]]="","",IF(AND(D167="Nie",E167="Nie"),0,IF(AND(D167="Tak",E167="Nie"),Podsumowanie!$B$19,Podsumowanie!$C$19)))</f>
        <v>430</v>
      </c>
      <c r="V167" s="4">
        <f t="shared" si="7"/>
        <v>-280</v>
      </c>
      <c r="W167" s="55" t="str">
        <f t="shared" si="8"/>
        <v>NOK</v>
      </c>
      <c r="X167" s="4"/>
      <c r="Z167" s="4" t="str">
        <f>Table2[[#This Row],[Nazwisko]]&amp;Table2[[#This Row],[Imię]]</f>
        <v>SzustakiewiczJulia</v>
      </c>
      <c r="AA167" s="2">
        <f>COUNTIF(Z167:$Z$275,Z167)</f>
        <v>1</v>
      </c>
    </row>
    <row r="168" spans="1:27" hidden="1">
      <c r="A168" s="117" t="s">
        <v>281</v>
      </c>
      <c r="B168" s="4" t="s">
        <v>39</v>
      </c>
      <c r="C168" s="2" t="s">
        <v>188</v>
      </c>
      <c r="D168" s="2" t="s">
        <v>27</v>
      </c>
      <c r="E168" s="2" t="s">
        <v>27</v>
      </c>
      <c r="G168" s="4">
        <v>50</v>
      </c>
      <c r="K168" s="4">
        <v>100</v>
      </c>
      <c r="L168" s="4">
        <v>100</v>
      </c>
      <c r="T168" s="4">
        <f t="shared" si="10"/>
        <v>250</v>
      </c>
      <c r="U168" s="36">
        <f>IF(Table2[[#This Row],[Nazwisko]]="","",IF(AND(D168="Nie",E168="Nie"),0,IF(AND(D168="Tak",E168="Nie"),Podsumowanie!$B$19,Podsumowanie!$C$19)))</f>
        <v>700</v>
      </c>
      <c r="V168" s="4">
        <f t="shared" si="7"/>
        <v>-450</v>
      </c>
      <c r="W168" s="55" t="str">
        <f t="shared" si="8"/>
        <v>NOK</v>
      </c>
      <c r="X168" s="4"/>
      <c r="Z168" s="4" t="str">
        <f>Table2[[#This Row],[Nazwisko]]&amp;Table2[[#This Row],[Imię]]</f>
        <v>BanaszczykLena</v>
      </c>
      <c r="AA168" s="2">
        <f>COUNTIF(Z168:$Z$275,Z168)</f>
        <v>1</v>
      </c>
    </row>
    <row r="169" spans="1:27" hidden="1">
      <c r="A169" s="111" t="s">
        <v>282</v>
      </c>
      <c r="B169" s="4" t="s">
        <v>63</v>
      </c>
      <c r="C169" s="2" t="s">
        <v>113</v>
      </c>
      <c r="D169" s="2" t="s">
        <v>33</v>
      </c>
      <c r="E169" s="2" t="s">
        <v>33</v>
      </c>
      <c r="F169" s="2" t="s">
        <v>122</v>
      </c>
      <c r="G169" s="4">
        <v>50</v>
      </c>
      <c r="T169" s="4">
        <f t="shared" si="10"/>
        <v>50</v>
      </c>
      <c r="U169" s="36">
        <f>IF(Table2[[#This Row],[Nazwisko]]="","",IF(AND(D169="Nie",E169="Nie"),0,IF(AND(D169="Tak",E169="Nie"),Podsumowanie!$B$19,Podsumowanie!$C$19)))</f>
        <v>0</v>
      </c>
      <c r="V169" s="4">
        <f t="shared" si="7"/>
        <v>50</v>
      </c>
      <c r="W169" s="55" t="str">
        <f t="shared" si="8"/>
        <v>OK</v>
      </c>
      <c r="X169" s="4"/>
      <c r="Z169" s="4" t="str">
        <f>Table2[[#This Row],[Nazwisko]]&amp;Table2[[#This Row],[Imię]]</f>
        <v>PlucińskaMaja</v>
      </c>
      <c r="AA169" s="2">
        <f>COUNTIF(Z169:$Z$275,Z169)</f>
        <v>1</v>
      </c>
    </row>
    <row r="170" spans="1:27" hidden="1">
      <c r="A170" s="4" t="s">
        <v>283</v>
      </c>
      <c r="B170" s="4" t="s">
        <v>284</v>
      </c>
      <c r="C170" s="2" t="s">
        <v>26</v>
      </c>
      <c r="D170" s="2" t="s">
        <v>33</v>
      </c>
      <c r="E170" s="2" t="s">
        <v>33</v>
      </c>
      <c r="T170" s="4">
        <f t="shared" si="10"/>
        <v>0</v>
      </c>
      <c r="U170" s="36">
        <f>IF(Table2[[#This Row],[Nazwisko]]="","",IF(AND(D170="Nie",E170="Nie"),0,IF(AND(D170="Tak",E170="Nie"),Podsumowanie!$B$19,Podsumowanie!$C$19)))</f>
        <v>0</v>
      </c>
      <c r="V170" s="4">
        <f t="shared" si="7"/>
        <v>0</v>
      </c>
      <c r="W170" s="55" t="str">
        <f t="shared" si="8"/>
        <v/>
      </c>
      <c r="X170" s="4"/>
      <c r="Z170" s="4" t="str">
        <f>Table2[[#This Row],[Nazwisko]]&amp;Table2[[#This Row],[Imię]]</f>
        <v>DzięgowskaJoanna</v>
      </c>
      <c r="AA170" s="2">
        <f>COUNTIF(Z170:$Z$275,Z170)</f>
        <v>1</v>
      </c>
    </row>
    <row r="171" spans="1:27" hidden="1">
      <c r="A171" s="4" t="s">
        <v>285</v>
      </c>
      <c r="B171" s="4" t="s">
        <v>286</v>
      </c>
      <c r="C171" s="2" t="s">
        <v>26</v>
      </c>
      <c r="D171" s="2" t="s">
        <v>27</v>
      </c>
      <c r="E171" s="2" t="s">
        <v>33</v>
      </c>
      <c r="F171" s="2" t="s">
        <v>287</v>
      </c>
      <c r="G171" s="4">
        <v>50</v>
      </c>
      <c r="T171" s="4">
        <f t="shared" si="10"/>
        <v>50</v>
      </c>
      <c r="U171" s="36">
        <f>IF(Table2[[#This Row],[Nazwisko]]="","",IF(AND(D171="Nie",E171="Nie"),0,IF(AND(D171="Tak",E171="Nie"),Podsumowanie!$B$19,Podsumowanie!$C$19)))</f>
        <v>430</v>
      </c>
      <c r="V171" s="4">
        <f t="shared" si="7"/>
        <v>-380</v>
      </c>
      <c r="W171" s="55" t="str">
        <f t="shared" si="8"/>
        <v>NOK</v>
      </c>
      <c r="X171" s="4"/>
      <c r="Z171" s="4" t="str">
        <f>Table2[[#This Row],[Nazwisko]]&amp;Table2[[#This Row],[Imię]]</f>
        <v>DudzicOliwier</v>
      </c>
      <c r="AA171" s="2">
        <f>COUNTIF(Z171:$Z$275,Z171)</f>
        <v>1</v>
      </c>
    </row>
    <row r="172" spans="1:27" hidden="1">
      <c r="A172" s="4" t="s">
        <v>288</v>
      </c>
      <c r="B172" s="4" t="s">
        <v>57</v>
      </c>
      <c r="C172" s="2" t="s">
        <v>26</v>
      </c>
      <c r="D172" s="2" t="s">
        <v>27</v>
      </c>
      <c r="E172" s="2" t="s">
        <v>27</v>
      </c>
      <c r="G172" s="4">
        <v>50</v>
      </c>
      <c r="T172" s="4">
        <f t="shared" si="10"/>
        <v>50</v>
      </c>
      <c r="U172" s="36">
        <f>IF(Table2[[#This Row],[Nazwisko]]="","",IF(AND(D172="Nie",E172="Nie"),0,IF(AND(D172="Tak",E172="Nie"),Podsumowanie!$B$19,Podsumowanie!$C$19)))</f>
        <v>700</v>
      </c>
      <c r="V172" s="4">
        <f t="shared" si="7"/>
        <v>-650</v>
      </c>
      <c r="W172" s="55" t="str">
        <f t="shared" si="8"/>
        <v>NOK</v>
      </c>
      <c r="X172" s="4"/>
      <c r="Z172" s="4" t="str">
        <f>Table2[[#This Row],[Nazwisko]]&amp;Table2[[#This Row],[Imię]]</f>
        <v>AndrzejczykOliwia</v>
      </c>
      <c r="AA172" s="2">
        <f>COUNTIF(Z172:$Z$275,Z172)</f>
        <v>1</v>
      </c>
    </row>
    <row r="173" spans="1:27" hidden="1">
      <c r="A173" s="4" t="s">
        <v>289</v>
      </c>
      <c r="B173" s="4" t="s">
        <v>290</v>
      </c>
      <c r="C173" s="2" t="s">
        <v>179</v>
      </c>
      <c r="D173" s="2" t="s">
        <v>27</v>
      </c>
      <c r="E173" s="2" t="s">
        <v>27</v>
      </c>
      <c r="G173" s="4">
        <v>50</v>
      </c>
      <c r="K173" s="4">
        <v>100</v>
      </c>
      <c r="L173" s="4">
        <v>100</v>
      </c>
      <c r="M173" s="4">
        <v>100</v>
      </c>
      <c r="T173" s="4">
        <f t="shared" si="10"/>
        <v>350</v>
      </c>
      <c r="U173" s="36">
        <f>IF(Table2[[#This Row],[Nazwisko]]="","",IF(AND(D173="Nie",E173="Nie"),0,IF(AND(D173="Tak",E173="Nie"),Podsumowanie!$B$19,Podsumowanie!$C$19)))</f>
        <v>700</v>
      </c>
      <c r="V173" s="4">
        <f t="shared" si="7"/>
        <v>-350</v>
      </c>
      <c r="W173" s="55" t="str">
        <f t="shared" si="8"/>
        <v>NOK</v>
      </c>
      <c r="X173" s="4"/>
      <c r="Z173" s="4" t="str">
        <f>Table2[[#This Row],[Nazwisko]]&amp;Table2[[#This Row],[Imię]]</f>
        <v>BurdaMarcel</v>
      </c>
      <c r="AA173" s="2">
        <f>COUNTIF(Z173:$Z$275,Z173)</f>
        <v>1</v>
      </c>
    </row>
    <row r="174" spans="1:27" hidden="1">
      <c r="A174" s="4" t="s">
        <v>291</v>
      </c>
      <c r="B174" s="4" t="s">
        <v>226</v>
      </c>
      <c r="C174" s="2" t="s">
        <v>53</v>
      </c>
      <c r="D174" s="2" t="s">
        <v>27</v>
      </c>
      <c r="E174" s="2" t="s">
        <v>33</v>
      </c>
      <c r="G174" s="4">
        <v>50</v>
      </c>
      <c r="T174" s="4">
        <f t="shared" si="10"/>
        <v>50</v>
      </c>
      <c r="U174" s="36">
        <f>IF(Table2[[#This Row],[Nazwisko]]="","",IF(AND(D174="Nie",E174="Nie"),0,IF(AND(D174="Tak",E174="Nie"),Podsumowanie!$B$19,Podsumowanie!$C$19)))</f>
        <v>430</v>
      </c>
      <c r="V174" s="4">
        <f t="shared" si="7"/>
        <v>-380</v>
      </c>
      <c r="W174" s="55" t="str">
        <f t="shared" si="8"/>
        <v>NOK</v>
      </c>
      <c r="X174" s="4"/>
      <c r="Z174" s="4" t="str">
        <f>Table2[[#This Row],[Nazwisko]]&amp;Table2[[#This Row],[Imię]]</f>
        <v>KrogulecAmelia</v>
      </c>
      <c r="AA174" s="2">
        <f>COUNTIF(Z174:$Z$275,Z174)</f>
        <v>1</v>
      </c>
    </row>
    <row r="175" spans="1:27">
      <c r="A175" s="4" t="s">
        <v>292</v>
      </c>
      <c r="B175" s="4" t="s">
        <v>107</v>
      </c>
      <c r="C175" s="2" t="s">
        <v>87</v>
      </c>
      <c r="D175" s="2" t="s">
        <v>27</v>
      </c>
      <c r="E175" s="2" t="s">
        <v>33</v>
      </c>
      <c r="G175" s="4">
        <v>50</v>
      </c>
      <c r="P175" s="4">
        <v>100</v>
      </c>
      <c r="Q175" s="4">
        <v>100</v>
      </c>
      <c r="T175" s="4">
        <f t="shared" si="10"/>
        <v>250</v>
      </c>
      <c r="U175" s="36">
        <f>IF(Table2[[#This Row],[Nazwisko]]="","",IF(AND(D175="Nie",E175="Nie"),0,IF(AND(D175="Tak",E175="Nie"),Podsumowanie!$B$19,Podsumowanie!$C$19)))</f>
        <v>430</v>
      </c>
      <c r="V175" s="4">
        <f t="shared" si="7"/>
        <v>-180</v>
      </c>
      <c r="W175" s="55" t="str">
        <f t="shared" si="8"/>
        <v>NOK</v>
      </c>
      <c r="X175" s="4"/>
      <c r="Z175" s="4" t="str">
        <f>Table2[[#This Row],[Nazwisko]]&amp;Table2[[#This Row],[Imię]]</f>
        <v>BartosikDawid</v>
      </c>
      <c r="AA175" s="2">
        <f>COUNTIF(Z175:$Z$275,Z175)</f>
        <v>1</v>
      </c>
    </row>
    <row r="176" spans="1:27" hidden="1">
      <c r="A176" s="4" t="s">
        <v>293</v>
      </c>
      <c r="B176" s="4" t="s">
        <v>107</v>
      </c>
      <c r="C176" s="2" t="s">
        <v>26</v>
      </c>
      <c r="D176" s="2" t="s">
        <v>27</v>
      </c>
      <c r="E176" s="2" t="s">
        <v>27</v>
      </c>
      <c r="G176" s="4">
        <v>50</v>
      </c>
      <c r="T176" s="4">
        <f t="shared" si="10"/>
        <v>50</v>
      </c>
      <c r="U176" s="36">
        <f>IF(Table2[[#This Row],[Nazwisko]]="","",IF(AND(D176="Nie",E176="Nie"),0,IF(AND(D176="Tak",E176="Nie"),Podsumowanie!$B$19,Podsumowanie!$C$19)))</f>
        <v>700</v>
      </c>
      <c r="V176" s="4">
        <f t="shared" si="7"/>
        <v>-650</v>
      </c>
      <c r="W176" s="55" t="str">
        <f t="shared" si="8"/>
        <v>NOK</v>
      </c>
      <c r="X176" s="4"/>
      <c r="Z176" s="4" t="str">
        <f>Table2[[#This Row],[Nazwisko]]&amp;Table2[[#This Row],[Imię]]</f>
        <v>HajdasDawid</v>
      </c>
      <c r="AA176" s="2">
        <f>COUNTIF(Z176:$Z$275,Z176)</f>
        <v>1</v>
      </c>
    </row>
    <row r="177" spans="1:27">
      <c r="A177" s="4" t="s">
        <v>294</v>
      </c>
      <c r="B177" s="4" t="s">
        <v>295</v>
      </c>
      <c r="C177" s="2" t="s">
        <v>87</v>
      </c>
      <c r="D177" s="2" t="s">
        <v>27</v>
      </c>
      <c r="E177" s="2" t="s">
        <v>33</v>
      </c>
      <c r="G177" s="4">
        <v>50</v>
      </c>
      <c r="P177" s="4">
        <v>100</v>
      </c>
      <c r="Q177" s="4">
        <v>100</v>
      </c>
      <c r="T177" s="4">
        <f t="shared" si="10"/>
        <v>250</v>
      </c>
      <c r="U177" s="36">
        <f>IF(Table2[[#This Row],[Nazwisko]]="","",IF(AND(D177="Nie",E177="Nie"),0,IF(AND(D177="Tak",E177="Nie"),Podsumowanie!$B$19,Podsumowanie!$C$19)))</f>
        <v>430</v>
      </c>
      <c r="V177" s="4">
        <f t="shared" si="7"/>
        <v>-180</v>
      </c>
      <c r="W177" s="55" t="str">
        <f t="shared" si="8"/>
        <v>NOK</v>
      </c>
      <c r="X177" s="4"/>
      <c r="Z177" s="4" t="str">
        <f>Table2[[#This Row],[Nazwisko]]&amp;Table2[[#This Row],[Imię]]</f>
        <v>PichitDominik</v>
      </c>
      <c r="AA177" s="2">
        <f>COUNTIF(Z177:$Z$275,Z177)</f>
        <v>1</v>
      </c>
    </row>
    <row r="178" spans="1:27" hidden="1">
      <c r="A178" s="4" t="s">
        <v>260</v>
      </c>
      <c r="B178" s="4" t="s">
        <v>65</v>
      </c>
      <c r="C178" s="2" t="s">
        <v>26</v>
      </c>
      <c r="D178" s="2" t="s">
        <v>27</v>
      </c>
      <c r="E178" s="2" t="s">
        <v>27</v>
      </c>
      <c r="G178" s="4">
        <v>50</v>
      </c>
      <c r="T178" s="4">
        <f t="shared" si="10"/>
        <v>50</v>
      </c>
      <c r="U178" s="36">
        <f>IF(Table2[[#This Row],[Nazwisko]]="","",IF(AND(D178="Nie",E178="Nie"),0,IF(AND(D178="Tak",E178="Nie"),Podsumowanie!$B$19,Podsumowanie!$C$19)))</f>
        <v>700</v>
      </c>
      <c r="V178" s="4">
        <f t="shared" si="7"/>
        <v>-650</v>
      </c>
      <c r="W178" s="55" t="str">
        <f t="shared" si="8"/>
        <v>NOK</v>
      </c>
      <c r="X178" s="4"/>
      <c r="Z178" s="4" t="str">
        <f>Table2[[#This Row],[Nazwisko]]&amp;Table2[[#This Row],[Imię]]</f>
        <v>MentekNikola</v>
      </c>
      <c r="AA178" s="2">
        <f>COUNTIF(Z178:$Z$275,Z178)</f>
        <v>1</v>
      </c>
    </row>
    <row r="179" spans="1:27" hidden="1">
      <c r="A179" s="4" t="s">
        <v>296</v>
      </c>
      <c r="B179" s="4" t="s">
        <v>78</v>
      </c>
      <c r="C179" s="2" t="s">
        <v>26</v>
      </c>
      <c r="D179" s="2" t="s">
        <v>27</v>
      </c>
      <c r="E179" s="2" t="s">
        <v>27</v>
      </c>
      <c r="G179" s="4">
        <v>50</v>
      </c>
      <c r="T179" s="4">
        <f t="shared" si="10"/>
        <v>50</v>
      </c>
      <c r="U179" s="36">
        <f>IF(Table2[[#This Row],[Nazwisko]]="","",IF(AND(D179="Nie",E179="Nie"),0,IF(AND(D179="Tak",E179="Nie"),Podsumowanie!$B$19,Podsumowanie!$C$19)))</f>
        <v>700</v>
      </c>
      <c r="V179" s="4">
        <f t="shared" si="7"/>
        <v>-650</v>
      </c>
      <c r="W179" s="55" t="str">
        <f t="shared" si="8"/>
        <v>NOK</v>
      </c>
      <c r="X179" s="4"/>
      <c r="Z179" s="4" t="str">
        <f>Table2[[#This Row],[Nazwisko]]&amp;Table2[[#This Row],[Imię]]</f>
        <v>PiekarskaZuzanna</v>
      </c>
      <c r="AA179" s="2">
        <f>COUNTIF(Z179:$Z$275,Z179)</f>
        <v>1</v>
      </c>
    </row>
    <row r="180" spans="1:27" hidden="1">
      <c r="A180" s="4" t="s">
        <v>297</v>
      </c>
      <c r="B180" s="4" t="s">
        <v>298</v>
      </c>
      <c r="C180" s="2" t="s">
        <v>26</v>
      </c>
      <c r="D180" s="2" t="s">
        <v>27</v>
      </c>
      <c r="E180" s="2" t="s">
        <v>33</v>
      </c>
      <c r="G180" s="4">
        <v>50</v>
      </c>
      <c r="T180" s="4">
        <f t="shared" si="10"/>
        <v>50</v>
      </c>
      <c r="U180" s="36">
        <f>IF(Table2[[#This Row],[Nazwisko]]="","",IF(AND(D180="Nie",E180="Nie"),0,IF(AND(D180="Tak",E180="Nie"),Podsumowanie!$B$19,Podsumowanie!$C$19)))</f>
        <v>430</v>
      </c>
      <c r="V180" s="4">
        <f t="shared" si="7"/>
        <v>-380</v>
      </c>
      <c r="W180" s="55" t="str">
        <f t="shared" si="8"/>
        <v>NOK</v>
      </c>
      <c r="X180" s="4"/>
      <c r="Z180" s="4" t="str">
        <f>Table2[[#This Row],[Nazwisko]]&amp;Table2[[#This Row],[Imię]]</f>
        <v>VeremiiAnastasiia</v>
      </c>
      <c r="AA180" s="2">
        <f>COUNTIF(Z180:$Z$275,Z180)</f>
        <v>1</v>
      </c>
    </row>
    <row r="181" spans="1:27" hidden="1">
      <c r="A181" s="4" t="s">
        <v>91</v>
      </c>
      <c r="B181" s="4" t="s">
        <v>299</v>
      </c>
      <c r="C181" s="2" t="s">
        <v>26</v>
      </c>
      <c r="D181" s="2" t="s">
        <v>27</v>
      </c>
      <c r="E181" s="2" t="s">
        <v>33</v>
      </c>
      <c r="G181" s="4">
        <v>50</v>
      </c>
      <c r="T181" s="4">
        <f t="shared" si="10"/>
        <v>50</v>
      </c>
      <c r="U181" s="36">
        <f>IF(Table2[[#This Row],[Nazwisko]]="","",IF(AND(D181="Nie",E181="Nie"),0,IF(AND(D181="Tak",E181="Nie"),Podsumowanie!$B$19,Podsumowanie!$C$19)))</f>
        <v>430</v>
      </c>
      <c r="V181" s="4">
        <f t="shared" si="7"/>
        <v>-380</v>
      </c>
      <c r="W181" s="55" t="str">
        <f t="shared" si="8"/>
        <v>NOK</v>
      </c>
      <c r="X181" s="4"/>
      <c r="Z181" s="4" t="str">
        <f>Table2[[#This Row],[Nazwisko]]&amp;Table2[[#This Row],[Imię]]</f>
        <v>WłodarczykKajetan</v>
      </c>
      <c r="AA181" s="2">
        <f>COUNTIF(Z181:$Z$275,Z181)</f>
        <v>1</v>
      </c>
    </row>
    <row r="182" spans="1:27" hidden="1">
      <c r="A182" s="4" t="s">
        <v>300</v>
      </c>
      <c r="B182" s="4" t="s">
        <v>46</v>
      </c>
      <c r="C182" s="2" t="s">
        <v>179</v>
      </c>
      <c r="D182" s="2" t="s">
        <v>27</v>
      </c>
      <c r="E182" s="2" t="s">
        <v>33</v>
      </c>
      <c r="G182" s="4">
        <v>50</v>
      </c>
      <c r="K182" s="4">
        <v>100</v>
      </c>
      <c r="L182" s="4">
        <v>100</v>
      </c>
      <c r="T182" s="4">
        <f t="shared" si="10"/>
        <v>250</v>
      </c>
      <c r="U182" s="36">
        <f>IF(Table2[[#This Row],[Nazwisko]]="","",IF(AND(D182="Nie",E182="Nie"),0,IF(AND(D182="Tak",E182="Nie"),Podsumowanie!$B$19,Podsumowanie!$C$19)))</f>
        <v>430</v>
      </c>
      <c r="V182" s="4">
        <f t="shared" si="7"/>
        <v>-180</v>
      </c>
      <c r="W182" s="55" t="str">
        <f t="shared" si="8"/>
        <v>NOK</v>
      </c>
      <c r="X182" s="4"/>
      <c r="Z182" s="4" t="str">
        <f>Table2[[#This Row],[Nazwisko]]&amp;Table2[[#This Row],[Imię]]</f>
        <v>GrabowskaWeronika</v>
      </c>
      <c r="AA182" s="2">
        <f>COUNTIF(Z182:$Z$275,Z182)</f>
        <v>1</v>
      </c>
    </row>
    <row r="183" spans="1:27" hidden="1">
      <c r="A183" s="4" t="s">
        <v>301</v>
      </c>
      <c r="B183" s="4" t="s">
        <v>302</v>
      </c>
      <c r="C183" s="2" t="s">
        <v>179</v>
      </c>
      <c r="D183" s="2" t="s">
        <v>33</v>
      </c>
      <c r="E183" s="2" t="s">
        <v>33</v>
      </c>
      <c r="T183" s="4">
        <f t="shared" si="10"/>
        <v>0</v>
      </c>
      <c r="U183" s="36">
        <f>IF(Table2[[#This Row],[Nazwisko]]="","",IF(AND(D183="Nie",E183="Nie"),0,IF(AND(D183="Tak",E183="Nie"),Podsumowanie!$B$19,Podsumowanie!$C$19)))</f>
        <v>0</v>
      </c>
      <c r="V183" s="4">
        <f t="shared" si="7"/>
        <v>0</v>
      </c>
      <c r="W183" s="55" t="str">
        <f t="shared" si="8"/>
        <v/>
      </c>
      <c r="X183" s="4"/>
      <c r="Z183" s="4" t="str">
        <f>Table2[[#This Row],[Nazwisko]]&amp;Table2[[#This Row],[Imię]]</f>
        <v>KalynovskaOleksandra</v>
      </c>
      <c r="AA183" s="2">
        <f>COUNTIF(Z183:$Z$275,Z183)</f>
        <v>1</v>
      </c>
    </row>
    <row r="184" spans="1:27" hidden="1">
      <c r="A184" s="4" t="s">
        <v>303</v>
      </c>
      <c r="B184" s="4" t="s">
        <v>35</v>
      </c>
      <c r="C184" s="2" t="s">
        <v>179</v>
      </c>
      <c r="D184" s="2" t="s">
        <v>27</v>
      </c>
      <c r="E184" s="2" t="s">
        <v>27</v>
      </c>
      <c r="G184" s="4">
        <v>50</v>
      </c>
      <c r="K184" s="4">
        <v>100</v>
      </c>
      <c r="L184" s="4">
        <v>100</v>
      </c>
      <c r="T184" s="4">
        <f t="shared" si="10"/>
        <v>250</v>
      </c>
      <c r="U184" s="36">
        <f>IF(Table2[[#This Row],[Nazwisko]]="","",IF(AND(D184="Nie",E184="Nie"),0,IF(AND(D184="Tak",E184="Nie"),Podsumowanie!$B$19,Podsumowanie!$C$19)))</f>
        <v>700</v>
      </c>
      <c r="V184" s="4">
        <f t="shared" si="7"/>
        <v>-450</v>
      </c>
      <c r="W184" s="55" t="str">
        <f t="shared" si="8"/>
        <v>NOK</v>
      </c>
      <c r="X184" s="4"/>
      <c r="Z184" s="4" t="str">
        <f>Table2[[#This Row],[Nazwisko]]&amp;Table2[[#This Row],[Imię]]</f>
        <v>WilczekAleksandra</v>
      </c>
      <c r="AA184" s="2">
        <f>COUNTIF(Z184:$Z$275,Z184)</f>
        <v>1</v>
      </c>
    </row>
    <row r="185" spans="1:27" hidden="1">
      <c r="A185" s="4" t="s">
        <v>304</v>
      </c>
      <c r="B185" s="4" t="s">
        <v>52</v>
      </c>
      <c r="C185" s="2" t="s">
        <v>179</v>
      </c>
      <c r="D185" s="2" t="s">
        <v>27</v>
      </c>
      <c r="E185" s="2" t="s">
        <v>33</v>
      </c>
      <c r="G185" s="4">
        <v>50</v>
      </c>
      <c r="K185" s="4">
        <v>100</v>
      </c>
      <c r="T185" s="4">
        <f>SUM(G185:S185)</f>
        <v>150</v>
      </c>
      <c r="U185" s="36">
        <f>IF(Table2[[#This Row],[Nazwisko]]="","",IF(AND(D185="Nie",E185="Nie"),0,IF(AND(D185="Tak",E185="Nie"),Podsumowanie!$B$19,Podsumowanie!$C$19)))</f>
        <v>430</v>
      </c>
      <c r="V185" s="4">
        <f t="shared" si="7"/>
        <v>-280</v>
      </c>
      <c r="W185" s="55" t="str">
        <f t="shared" si="8"/>
        <v>NOK</v>
      </c>
      <c r="X185" s="4"/>
      <c r="Z185" s="4" t="str">
        <f>Table2[[#This Row],[Nazwisko]]&amp;Table2[[#This Row],[Imię]]</f>
        <v>KurekWiktoria</v>
      </c>
      <c r="AA185" s="2">
        <f>COUNTIF(Z185:$Z$275,Z185)</f>
        <v>1</v>
      </c>
    </row>
    <row r="186" spans="1:27" hidden="1">
      <c r="A186" s="4" t="s">
        <v>112</v>
      </c>
      <c r="B186" s="4" t="s">
        <v>305</v>
      </c>
      <c r="C186" s="2" t="s">
        <v>26</v>
      </c>
      <c r="D186" s="2" t="s">
        <v>27</v>
      </c>
      <c r="E186" s="2" t="s">
        <v>33</v>
      </c>
      <c r="G186" s="4">
        <v>50</v>
      </c>
      <c r="T186" s="4">
        <f>SUM(G186:S186)</f>
        <v>50</v>
      </c>
      <c r="U186" s="36">
        <f>IF(Table2[[#This Row],[Nazwisko]]="","",IF(AND(D186="Nie",E186="Nie"),0,IF(AND(D186="Tak",E186="Nie"),Podsumowanie!$B$19,Podsumowanie!$C$19)))</f>
        <v>430</v>
      </c>
      <c r="V186" s="4">
        <f t="shared" si="7"/>
        <v>-380</v>
      </c>
      <c r="W186" s="55" t="str">
        <f t="shared" si="8"/>
        <v>NOK</v>
      </c>
      <c r="X186" s="4"/>
      <c r="Z186" s="4" t="str">
        <f>Table2[[#This Row],[Nazwisko]]&amp;Table2[[#This Row],[Imię]]</f>
        <v>StępieńWiktor</v>
      </c>
      <c r="AA186" s="2">
        <f>COUNTIF(Z186:$Z$275,Z186)</f>
        <v>1</v>
      </c>
    </row>
    <row r="187" spans="1:27" hidden="1">
      <c r="A187" s="4" t="s">
        <v>306</v>
      </c>
      <c r="B187" s="4" t="s">
        <v>73</v>
      </c>
      <c r="C187" s="2" t="s">
        <v>26</v>
      </c>
      <c r="D187" s="2" t="s">
        <v>27</v>
      </c>
      <c r="E187" s="2" t="s">
        <v>27</v>
      </c>
      <c r="G187" s="4">
        <v>50</v>
      </c>
      <c r="T187" s="4">
        <f>SUM(G187:S187)</f>
        <v>50</v>
      </c>
      <c r="U187" s="36">
        <f>IF(Table2[[#This Row],[Nazwisko]]="","",IF(AND(D187="Nie",E187="Nie"),0,IF(AND(D187="Tak",E187="Nie"),Podsumowanie!$B$19,Podsumowanie!$C$19)))</f>
        <v>700</v>
      </c>
      <c r="V187" s="4">
        <f t="shared" si="7"/>
        <v>-650</v>
      </c>
      <c r="W187" s="55" t="str">
        <f t="shared" si="8"/>
        <v>NOK</v>
      </c>
      <c r="X187" s="4"/>
      <c r="Z187" s="4" t="str">
        <f>Table2[[#This Row],[Nazwisko]]&amp;Table2[[#This Row],[Imię]]</f>
        <v>BanasiewiczJulia</v>
      </c>
      <c r="AA187" s="2">
        <f>COUNTIF(Z187:$Z$275,Z187)</f>
        <v>1</v>
      </c>
    </row>
    <row r="188" spans="1:27" hidden="1">
      <c r="A188" s="4" t="s">
        <v>307</v>
      </c>
      <c r="B188" s="4" t="s">
        <v>308</v>
      </c>
      <c r="C188" s="2" t="s">
        <v>26</v>
      </c>
      <c r="D188" s="2" t="s">
        <v>27</v>
      </c>
      <c r="E188" s="2" t="s">
        <v>27</v>
      </c>
      <c r="G188" s="4">
        <v>50</v>
      </c>
      <c r="T188" s="4">
        <f>SUM(G188:S188)</f>
        <v>50</v>
      </c>
      <c r="U188" s="36">
        <f>IF(Table2[[#This Row],[Nazwisko]]="","",IF(AND(D188="Nie",E188="Nie"),0,IF(AND(D188="Tak",E188="Nie"),Podsumowanie!$B$19,Podsumowanie!$C$19)))</f>
        <v>700</v>
      </c>
      <c r="V188" s="4">
        <f t="shared" si="7"/>
        <v>-650</v>
      </c>
      <c r="W188" s="55" t="str">
        <f t="shared" si="8"/>
        <v>NOK</v>
      </c>
      <c r="X188" s="4"/>
      <c r="Z188" s="4" t="str">
        <f>Table2[[#This Row],[Nazwisko]]&amp;Table2[[#This Row],[Imię]]</f>
        <v>SarnaCelina</v>
      </c>
      <c r="AA188" s="2">
        <f>COUNTIF(Z188:$Z$275,Z188)</f>
        <v>1</v>
      </c>
    </row>
    <row r="189" spans="1:27" hidden="1">
      <c r="A189" s="4" t="s">
        <v>309</v>
      </c>
      <c r="B189" s="4" t="s">
        <v>35</v>
      </c>
      <c r="C189" s="2" t="s">
        <v>26</v>
      </c>
      <c r="D189" s="2" t="s">
        <v>27</v>
      </c>
      <c r="E189" s="2" t="s">
        <v>33</v>
      </c>
      <c r="G189" s="4">
        <v>50</v>
      </c>
      <c r="T189" s="4">
        <f>SUM(G189:S189)</f>
        <v>50</v>
      </c>
      <c r="U189" s="36">
        <f>IF(Table2[[#This Row],[Nazwisko]]="","",IF(AND(D189="Nie",E189="Nie"),0,IF(AND(D189="Tak",E189="Nie"),Podsumowanie!$B$19,Podsumowanie!$C$19)))</f>
        <v>430</v>
      </c>
      <c r="V189" s="4">
        <f t="shared" si="7"/>
        <v>-380</v>
      </c>
      <c r="W189" s="55" t="str">
        <f t="shared" si="8"/>
        <v>NOK</v>
      </c>
      <c r="X189" s="4"/>
      <c r="Z189" s="4" t="str">
        <f>Table2[[#This Row],[Nazwisko]]&amp;Table2[[#This Row],[Imię]]</f>
        <v>SpruchAleksandra</v>
      </c>
      <c r="AA189" s="2">
        <f>COUNTIF(Z189:$Z$275,Z189)</f>
        <v>1</v>
      </c>
    </row>
    <row r="190" spans="1:27" hidden="1">
      <c r="A190" s="4" t="s">
        <v>310</v>
      </c>
      <c r="B190" s="4" t="s">
        <v>46</v>
      </c>
      <c r="C190" s="2" t="s">
        <v>26</v>
      </c>
      <c r="D190" s="2" t="s">
        <v>27</v>
      </c>
      <c r="E190" s="2" t="s">
        <v>27</v>
      </c>
      <c r="G190" s="4">
        <v>50</v>
      </c>
      <c r="T190" s="4">
        <f>SUM(G190:S190)</f>
        <v>50</v>
      </c>
      <c r="U190" s="36">
        <f>IF(Table2[[#This Row],[Nazwisko]]="","",IF(AND(D190="Nie",E190="Nie"),0,IF(AND(D190="Tak",E190="Nie"),Podsumowanie!$B$19,Podsumowanie!$C$19)))</f>
        <v>700</v>
      </c>
      <c r="V190" s="4">
        <f t="shared" si="7"/>
        <v>-650</v>
      </c>
      <c r="W190" s="55" t="str">
        <f t="shared" si="8"/>
        <v>NOK</v>
      </c>
      <c r="X190" s="4"/>
      <c r="Z190" s="4" t="str">
        <f>Table2[[#This Row],[Nazwisko]]&amp;Table2[[#This Row],[Imię]]</f>
        <v>BroniszewskaWeronika</v>
      </c>
      <c r="AA190" s="2">
        <f>COUNTIF(Z190:$Z$275,Z190)</f>
        <v>1</v>
      </c>
    </row>
    <row r="191" spans="1:27" hidden="1">
      <c r="A191" s="4" t="s">
        <v>311</v>
      </c>
      <c r="B191" s="4" t="s">
        <v>223</v>
      </c>
      <c r="C191" s="2" t="s">
        <v>26</v>
      </c>
      <c r="D191" s="2" t="s">
        <v>27</v>
      </c>
      <c r="E191" s="2" t="s">
        <v>27</v>
      </c>
      <c r="G191" s="4">
        <v>50</v>
      </c>
      <c r="T191" s="4">
        <f>SUM(G191:S191)</f>
        <v>50</v>
      </c>
      <c r="U191" s="36">
        <f>IF(Table2[[#This Row],[Nazwisko]]="","",IF(AND(D191="Nie",E191="Nie"),0,IF(AND(D191="Tak",E191="Nie"),Podsumowanie!$B$19,Podsumowanie!$C$19)))</f>
        <v>700</v>
      </c>
      <c r="V191" s="4">
        <f t="shared" si="7"/>
        <v>-650</v>
      </c>
      <c r="W191" s="55" t="str">
        <f t="shared" si="8"/>
        <v>NOK</v>
      </c>
      <c r="X191" s="4"/>
      <c r="Z191" s="4" t="str">
        <f>Table2[[#This Row],[Nazwisko]]&amp;Table2[[#This Row],[Imię]]</f>
        <v>SzymczykiewiczMarta</v>
      </c>
      <c r="AA191" s="2">
        <f>COUNTIF(Z191:$Z$275,Z191)</f>
        <v>1</v>
      </c>
    </row>
    <row r="192" spans="1:27" hidden="1">
      <c r="A192" s="4" t="s">
        <v>312</v>
      </c>
      <c r="B192" s="4" t="s">
        <v>52</v>
      </c>
      <c r="C192" s="2" t="s">
        <v>53</v>
      </c>
      <c r="D192" s="2" t="s">
        <v>27</v>
      </c>
      <c r="E192" s="2" t="s">
        <v>33</v>
      </c>
      <c r="G192" s="4">
        <v>50</v>
      </c>
      <c r="Q192" s="4">
        <v>200</v>
      </c>
      <c r="T192" s="4">
        <f>SUM(G192:S192)</f>
        <v>250</v>
      </c>
      <c r="U192" s="36">
        <f>IF(Table2[[#This Row],[Nazwisko]]="","",IF(AND(D192="Nie",E192="Nie"),0,IF(AND(D192="Tak",E192="Nie"),Podsumowanie!$B$19,Podsumowanie!$C$19)))</f>
        <v>430</v>
      </c>
      <c r="V192" s="4">
        <f t="shared" si="7"/>
        <v>-180</v>
      </c>
      <c r="W192" s="55" t="str">
        <f t="shared" si="8"/>
        <v>NOK</v>
      </c>
      <c r="X192" s="4"/>
      <c r="Z192" s="4" t="str">
        <f>Table2[[#This Row],[Nazwisko]]&amp;Table2[[#This Row],[Imię]]</f>
        <v>ŁęgowikWiktoria</v>
      </c>
      <c r="AA192" s="2">
        <f>COUNTIF(Z192:$Z$275,Z192)</f>
        <v>1</v>
      </c>
    </row>
    <row r="193" spans="1:27" hidden="1">
      <c r="A193" s="4" t="s">
        <v>313</v>
      </c>
      <c r="B193" s="4" t="s">
        <v>262</v>
      </c>
      <c r="C193" s="2" t="s">
        <v>179</v>
      </c>
      <c r="D193" s="2" t="s">
        <v>27</v>
      </c>
      <c r="E193" s="2" t="s">
        <v>27</v>
      </c>
      <c r="G193" s="4">
        <v>50</v>
      </c>
      <c r="K193" s="4">
        <v>100</v>
      </c>
      <c r="L193" s="4">
        <v>100</v>
      </c>
      <c r="T193" s="4">
        <f>SUM(G193:S193)</f>
        <v>250</v>
      </c>
      <c r="U193" s="36">
        <f>IF(Table2[[#This Row],[Nazwisko]]="","",IF(AND(D193="Nie",E193="Nie"),0,IF(AND(D193="Tak",E193="Nie"),Podsumowanie!$B$19,Podsumowanie!$C$19)))</f>
        <v>700</v>
      </c>
      <c r="V193" s="4">
        <f t="shared" si="7"/>
        <v>-450</v>
      </c>
      <c r="W193" s="55" t="str">
        <f t="shared" si="8"/>
        <v>NOK</v>
      </c>
      <c r="X193" s="4"/>
      <c r="Z193" s="4" t="str">
        <f>Table2[[#This Row],[Nazwisko]]&amp;Table2[[#This Row],[Imię]]</f>
        <v>PazeraAlicja</v>
      </c>
      <c r="AA193" s="2">
        <f>COUNTIF(Z193:$Z$275,Z193)</f>
        <v>1</v>
      </c>
    </row>
    <row r="194" spans="1:27" hidden="1">
      <c r="A194" s="4" t="s">
        <v>314</v>
      </c>
      <c r="B194" s="4" t="s">
        <v>315</v>
      </c>
      <c r="C194" s="2" t="s">
        <v>26</v>
      </c>
      <c r="D194" s="2" t="s">
        <v>27</v>
      </c>
      <c r="E194" s="2" t="s">
        <v>33</v>
      </c>
      <c r="G194" s="4">
        <v>50</v>
      </c>
      <c r="T194" s="4">
        <f>SUM(G194:S194)</f>
        <v>50</v>
      </c>
      <c r="U194" s="36">
        <f>IF(Table2[[#This Row],[Nazwisko]]="","",IF(AND(D194="Nie",E194="Nie"),0,IF(AND(D194="Tak",E194="Nie"),Podsumowanie!$B$19,Podsumowanie!$C$19)))</f>
        <v>430</v>
      </c>
      <c r="V194" s="4">
        <f t="shared" si="7"/>
        <v>-380</v>
      </c>
      <c r="W194" s="55" t="str">
        <f t="shared" si="8"/>
        <v>NOK</v>
      </c>
      <c r="X194" s="4"/>
      <c r="Z194" s="4" t="str">
        <f>Table2[[#This Row],[Nazwisko]]&amp;Table2[[#This Row],[Imię]]</f>
        <v>KwiecieńBartosz</v>
      </c>
      <c r="AA194" s="2">
        <f>COUNTIF(Z194:$Z$275,Z194)</f>
        <v>1</v>
      </c>
    </row>
    <row r="195" spans="1:27" hidden="1">
      <c r="A195" s="4" t="s">
        <v>316</v>
      </c>
      <c r="B195" s="4" t="s">
        <v>317</v>
      </c>
      <c r="C195" s="2" t="s">
        <v>26</v>
      </c>
      <c r="D195" s="2" t="s">
        <v>27</v>
      </c>
      <c r="E195" s="2" t="s">
        <v>27</v>
      </c>
      <c r="G195" s="4">
        <v>50</v>
      </c>
      <c r="T195" s="4">
        <f>SUM(G195:S195)</f>
        <v>50</v>
      </c>
      <c r="U195" s="36">
        <f>IF(Table2[[#This Row],[Nazwisko]]="","",IF(AND(D195="Nie",E195="Nie"),0,IF(AND(D195="Tak",E195="Nie"),Podsumowanie!$B$19,Podsumowanie!$C$19)))</f>
        <v>700</v>
      </c>
      <c r="V195" s="4">
        <f t="shared" ref="V195:V235" si="11">IFERROR(T195-U195,"")</f>
        <v>-650</v>
      </c>
      <c r="W195" s="55" t="str">
        <f t="shared" ref="W195:W235" si="12">IF(OR(A195="",V195=0),"",IF(OR(V195&gt;-0.01,V195=0),"OK","NOK"))</f>
        <v>NOK</v>
      </c>
      <c r="X195" s="4"/>
      <c r="Z195" s="4" t="str">
        <f>Table2[[#This Row],[Nazwisko]]&amp;Table2[[#This Row],[Imię]]</f>
        <v>SkulimowskiIgor</v>
      </c>
      <c r="AA195" s="2">
        <f>COUNTIF(Z195:$Z$275,Z195)</f>
        <v>1</v>
      </c>
    </row>
    <row r="196" spans="1:27" hidden="1">
      <c r="A196" s="4" t="s">
        <v>318</v>
      </c>
      <c r="B196" s="4" t="s">
        <v>73</v>
      </c>
      <c r="C196" s="2" t="s">
        <v>179</v>
      </c>
      <c r="D196" s="2" t="s">
        <v>27</v>
      </c>
      <c r="E196" s="2" t="s">
        <v>27</v>
      </c>
      <c r="G196" s="4">
        <v>50</v>
      </c>
      <c r="K196" s="4">
        <v>100</v>
      </c>
      <c r="T196" s="4">
        <f>SUM(G196:S196)</f>
        <v>150</v>
      </c>
      <c r="U196" s="36">
        <f>IF(Table2[[#This Row],[Nazwisko]]="","",IF(AND(D196="Nie",E196="Nie"),0,IF(AND(D196="Tak",E196="Nie"),Podsumowanie!$B$19,Podsumowanie!$C$19)))</f>
        <v>700</v>
      </c>
      <c r="V196" s="4">
        <f t="shared" si="11"/>
        <v>-550</v>
      </c>
      <c r="W196" s="55" t="str">
        <f t="shared" si="12"/>
        <v>NOK</v>
      </c>
      <c r="X196" s="4"/>
      <c r="Z196" s="4" t="str">
        <f>Table2[[#This Row],[Nazwisko]]&amp;Table2[[#This Row],[Imię]]</f>
        <v>KozłowskaJulia</v>
      </c>
      <c r="AA196" s="2">
        <f>COUNTIF(Z196:$Z$275,Z196)</f>
        <v>1</v>
      </c>
    </row>
    <row r="197" spans="1:27" hidden="1">
      <c r="A197" s="4" t="s">
        <v>319</v>
      </c>
      <c r="B197" s="4" t="s">
        <v>315</v>
      </c>
      <c r="C197" s="2" t="s">
        <v>179</v>
      </c>
      <c r="D197" s="2" t="s">
        <v>27</v>
      </c>
      <c r="E197" s="2" t="s">
        <v>27</v>
      </c>
      <c r="G197" s="4">
        <v>50</v>
      </c>
      <c r="K197" s="4">
        <v>100</v>
      </c>
      <c r="L197" s="4">
        <v>100</v>
      </c>
      <c r="T197" s="4">
        <f>SUM(G197:S197)</f>
        <v>250</v>
      </c>
      <c r="U197" s="36">
        <f>IF(Table2[[#This Row],[Nazwisko]]="","",IF(AND(D197="Nie",E197="Nie"),0,IF(AND(D197="Tak",E197="Nie"),Podsumowanie!$B$19,Podsumowanie!$C$19)))</f>
        <v>700</v>
      </c>
      <c r="V197" s="4">
        <f t="shared" si="11"/>
        <v>-450</v>
      </c>
      <c r="W197" s="55" t="str">
        <f t="shared" si="12"/>
        <v>NOK</v>
      </c>
      <c r="X197" s="4"/>
      <c r="Z197" s="4" t="str">
        <f>Table2[[#This Row],[Nazwisko]]&amp;Table2[[#This Row],[Imię]]</f>
        <v>PikielBartosz</v>
      </c>
      <c r="AA197" s="2">
        <f>COUNTIF(Z197:$Z$275,Z197)</f>
        <v>1</v>
      </c>
    </row>
    <row r="198" spans="1:27" hidden="1">
      <c r="A198" s="4" t="s">
        <v>320</v>
      </c>
      <c r="B198" s="4" t="s">
        <v>67</v>
      </c>
      <c r="C198" s="2" t="s">
        <v>26</v>
      </c>
      <c r="D198" s="2" t="s">
        <v>27</v>
      </c>
      <c r="E198" s="2" t="s">
        <v>27</v>
      </c>
      <c r="G198" s="4">
        <v>50</v>
      </c>
      <c r="T198" s="4">
        <f>SUM(G198:S198)</f>
        <v>50</v>
      </c>
      <c r="U198" s="36">
        <f>IF(Table2[[#This Row],[Nazwisko]]="","",IF(AND(D198="Nie",E198="Nie"),0,IF(AND(D198="Tak",E198="Nie"),Podsumowanie!$B$19,Podsumowanie!$C$19)))</f>
        <v>700</v>
      </c>
      <c r="V198" s="4">
        <f t="shared" si="11"/>
        <v>-650</v>
      </c>
      <c r="W198" s="55" t="str">
        <f t="shared" si="12"/>
        <v>NOK</v>
      </c>
      <c r="X198" s="4"/>
      <c r="Z198" s="4" t="str">
        <f>Table2[[#This Row],[Nazwisko]]&amp;Table2[[#This Row],[Imię]]</f>
        <v>RochowskaIga</v>
      </c>
      <c r="AA198" s="2">
        <f>COUNTIF(Z198:$Z$275,Z198)</f>
        <v>1</v>
      </c>
    </row>
    <row r="199" spans="1:27" hidden="1">
      <c r="A199" s="4" t="s">
        <v>321</v>
      </c>
      <c r="B199" s="4" t="s">
        <v>322</v>
      </c>
      <c r="C199" s="2" t="s">
        <v>26</v>
      </c>
      <c r="D199" s="2" t="s">
        <v>27</v>
      </c>
      <c r="E199" s="2" t="s">
        <v>27</v>
      </c>
      <c r="G199" s="4">
        <v>50</v>
      </c>
      <c r="T199" s="4">
        <f>SUM(G199:S199)</f>
        <v>50</v>
      </c>
      <c r="U199" s="36">
        <f>IF(Table2[[#This Row],[Nazwisko]]="","",IF(AND(D199="Nie",E199="Nie"),0,IF(AND(D199="Tak",E199="Nie"),Podsumowanie!$B$19,Podsumowanie!$C$19)))</f>
        <v>700</v>
      </c>
      <c r="V199" s="4">
        <f t="shared" si="11"/>
        <v>-650</v>
      </c>
      <c r="W199" s="55" t="str">
        <f t="shared" si="12"/>
        <v>NOK</v>
      </c>
      <c r="X199" s="4"/>
      <c r="Z199" s="4" t="str">
        <f>Table2[[#This Row],[Nazwisko]]&amp;Table2[[#This Row],[Imię]]</f>
        <v>ZborowskaMagdalena</v>
      </c>
      <c r="AA199" s="2">
        <f>COUNTIF(Z199:$Z$275,Z199)</f>
        <v>1</v>
      </c>
    </row>
    <row r="200" spans="1:27" hidden="1">
      <c r="A200" s="4" t="s">
        <v>323</v>
      </c>
      <c r="B200" s="4" t="s">
        <v>324</v>
      </c>
      <c r="C200" s="2" t="s">
        <v>179</v>
      </c>
      <c r="D200" s="2" t="s">
        <v>27</v>
      </c>
      <c r="E200" s="2" t="s">
        <v>27</v>
      </c>
      <c r="G200" s="4">
        <v>50</v>
      </c>
      <c r="K200" s="4">
        <v>100</v>
      </c>
      <c r="L200" s="4">
        <v>100</v>
      </c>
      <c r="T200" s="4">
        <f>SUM(G200:S200)</f>
        <v>250</v>
      </c>
      <c r="U200" s="36">
        <f>IF(Table2[[#This Row],[Nazwisko]]="","",IF(AND(D200="Nie",E200="Nie"),0,IF(AND(D200="Tak",E200="Nie"),Podsumowanie!$B$19,Podsumowanie!$C$19)))</f>
        <v>700</v>
      </c>
      <c r="V200" s="4">
        <f t="shared" si="11"/>
        <v>-450</v>
      </c>
      <c r="W200" s="55" t="str">
        <f t="shared" si="12"/>
        <v>NOK</v>
      </c>
      <c r="X200" s="4"/>
      <c r="Z200" s="4" t="str">
        <f>Table2[[#This Row],[Nazwisko]]&amp;Table2[[#This Row],[Imię]]</f>
        <v>lebeltzuzanna</v>
      </c>
      <c r="AA200" s="2">
        <f>COUNTIF(Z200:$Z$275,Z200)</f>
        <v>1</v>
      </c>
    </row>
    <row r="201" spans="1:27" hidden="1">
      <c r="A201" s="4" t="s">
        <v>56</v>
      </c>
      <c r="B201" s="4" t="s">
        <v>78</v>
      </c>
      <c r="C201" s="2" t="s">
        <v>179</v>
      </c>
      <c r="D201" s="2" t="s">
        <v>27</v>
      </c>
      <c r="E201" s="2" t="s">
        <v>27</v>
      </c>
      <c r="G201" s="4">
        <v>50</v>
      </c>
      <c r="K201" s="4">
        <v>100</v>
      </c>
      <c r="T201" s="4">
        <f>SUM(G201:S201)</f>
        <v>150</v>
      </c>
      <c r="U201" s="36">
        <f>IF(Table2[[#This Row],[Nazwisko]]="","",IF(AND(D201="Nie",E201="Nie"),0,IF(AND(D201="Tak",E201="Nie"),Podsumowanie!$B$19,Podsumowanie!$C$19)))</f>
        <v>700</v>
      </c>
      <c r="V201" s="4">
        <f t="shared" si="11"/>
        <v>-550</v>
      </c>
      <c r="W201" s="55" t="str">
        <f t="shared" si="12"/>
        <v>NOK</v>
      </c>
      <c r="X201" s="4"/>
      <c r="Z201" s="4" t="str">
        <f>Table2[[#This Row],[Nazwisko]]&amp;Table2[[#This Row],[Imię]]</f>
        <v>NitaZuzanna</v>
      </c>
      <c r="AA201" s="2">
        <f>COUNTIF(Z201:$Z$275,Z201)</f>
        <v>1</v>
      </c>
    </row>
    <row r="202" spans="1:27" hidden="1">
      <c r="A202" s="4" t="s">
        <v>325</v>
      </c>
      <c r="B202" s="4" t="s">
        <v>305</v>
      </c>
      <c r="C202" s="2" t="s">
        <v>32</v>
      </c>
      <c r="D202" s="2" t="s">
        <v>27</v>
      </c>
      <c r="E202" s="2" t="s">
        <v>33</v>
      </c>
      <c r="G202" s="4">
        <v>50</v>
      </c>
      <c r="Q202" s="4">
        <v>200</v>
      </c>
      <c r="T202" s="4">
        <f t="shared" ref="T202:T230" si="13">SUM(G202:S202)</f>
        <v>250</v>
      </c>
      <c r="U202" s="36">
        <f>IF(Table2[[#This Row],[Nazwisko]]="","",IF(AND(D202="Nie",E202="Nie"),0,IF(AND(D202="Tak",E202="Nie"),Podsumowanie!$B$19,Podsumowanie!$C$19)))</f>
        <v>430</v>
      </c>
      <c r="V202" s="4">
        <f t="shared" si="11"/>
        <v>-180</v>
      </c>
      <c r="W202" s="55" t="str">
        <f t="shared" si="12"/>
        <v>NOK</v>
      </c>
      <c r="X202" s="4"/>
      <c r="Z202" s="4" t="str">
        <f>Table2[[#This Row],[Nazwisko]]&amp;Table2[[#This Row],[Imię]]</f>
        <v>MakowskiWiktor</v>
      </c>
      <c r="AA202" s="2">
        <f>COUNTIF(Z202:$Z$275,Z202)</f>
        <v>1</v>
      </c>
    </row>
    <row r="203" spans="1:27" hidden="1">
      <c r="A203" s="4" t="s">
        <v>326</v>
      </c>
      <c r="B203" s="4" t="s">
        <v>315</v>
      </c>
      <c r="C203" s="2" t="s">
        <v>32</v>
      </c>
      <c r="D203" s="2" t="s">
        <v>27</v>
      </c>
      <c r="E203" s="2" t="s">
        <v>27</v>
      </c>
      <c r="G203" s="4">
        <v>50</v>
      </c>
      <c r="Q203" s="4">
        <v>200</v>
      </c>
      <c r="T203" s="4">
        <f t="shared" si="13"/>
        <v>250</v>
      </c>
      <c r="U203" s="36">
        <f>IF(Table2[[#This Row],[Nazwisko]]="","",IF(AND(D203="Nie",E203="Nie"),0,IF(AND(D203="Tak",E203="Nie"),Podsumowanie!$B$19,Podsumowanie!$C$19)))</f>
        <v>700</v>
      </c>
      <c r="V203" s="4">
        <f t="shared" si="11"/>
        <v>-450</v>
      </c>
      <c r="W203" s="55" t="str">
        <f t="shared" si="12"/>
        <v>NOK</v>
      </c>
      <c r="X203" s="4"/>
      <c r="Z203" s="4" t="str">
        <f>Table2[[#This Row],[Nazwisko]]&amp;Table2[[#This Row],[Imię]]</f>
        <v>DorozińskiBartosz</v>
      </c>
      <c r="AA203" s="2">
        <f>COUNTIF(Z203:$Z$275,Z203)</f>
        <v>1</v>
      </c>
    </row>
    <row r="204" spans="1:27" hidden="1">
      <c r="A204" s="4" t="s">
        <v>327</v>
      </c>
      <c r="B204" s="4" t="s">
        <v>328</v>
      </c>
      <c r="C204" s="2" t="s">
        <v>32</v>
      </c>
      <c r="D204" s="2" t="s">
        <v>27</v>
      </c>
      <c r="E204" s="2" t="s">
        <v>33</v>
      </c>
      <c r="G204" s="4">
        <v>50</v>
      </c>
      <c r="Q204" s="4">
        <v>200</v>
      </c>
      <c r="T204" s="4">
        <f t="shared" si="13"/>
        <v>250</v>
      </c>
      <c r="U204" s="36">
        <f>IF(Table2[[#This Row],[Nazwisko]]="","",IF(AND(D204="Nie",E204="Nie"),0,IF(AND(D204="Tak",E204="Nie"),Podsumowanie!$B$19,Podsumowanie!$C$19)))</f>
        <v>430</v>
      </c>
      <c r="V204" s="4">
        <f t="shared" si="11"/>
        <v>-180</v>
      </c>
      <c r="W204" s="55" t="str">
        <f t="shared" si="12"/>
        <v>NOK</v>
      </c>
      <c r="X204" s="4"/>
      <c r="Z204" s="4" t="str">
        <f>Table2[[#This Row],[Nazwisko]]&amp;Table2[[#This Row],[Imię]]</f>
        <v>DoboszMaria</v>
      </c>
      <c r="AA204" s="2">
        <f>COUNTIF(Z204:$Z$275,Z204)</f>
        <v>1</v>
      </c>
    </row>
    <row r="205" spans="1:27" hidden="1">
      <c r="A205" s="4" t="s">
        <v>329</v>
      </c>
      <c r="B205" s="4" t="s">
        <v>244</v>
      </c>
      <c r="C205" s="2" t="s">
        <v>32</v>
      </c>
      <c r="D205" s="2" t="s">
        <v>27</v>
      </c>
      <c r="E205" s="2" t="s">
        <v>33</v>
      </c>
      <c r="G205" s="4">
        <v>50</v>
      </c>
      <c r="Q205" s="4">
        <v>200</v>
      </c>
      <c r="T205" s="4">
        <f t="shared" si="13"/>
        <v>250</v>
      </c>
      <c r="U205" s="36">
        <f>IF(Table2[[#This Row],[Nazwisko]]="","",IF(AND(D205="Nie",E205="Nie"),0,IF(AND(D205="Tak",E205="Nie"),Podsumowanie!$B$19,Podsumowanie!$C$19)))</f>
        <v>430</v>
      </c>
      <c r="V205" s="4">
        <f t="shared" si="11"/>
        <v>-180</v>
      </c>
      <c r="W205" s="55" t="str">
        <f t="shared" si="12"/>
        <v>NOK</v>
      </c>
      <c r="X205" s="4"/>
      <c r="Z205" s="4" t="str">
        <f>Table2[[#This Row],[Nazwisko]]&amp;Table2[[#This Row],[Imię]]</f>
        <v>BartnikAdrianna</v>
      </c>
      <c r="AA205" s="2">
        <f>COUNTIF(Z205:$Z$275,Z205)</f>
        <v>1</v>
      </c>
    </row>
    <row r="206" spans="1:27" hidden="1">
      <c r="A206" s="4" t="s">
        <v>330</v>
      </c>
      <c r="B206" s="4" t="s">
        <v>127</v>
      </c>
      <c r="C206" s="2" t="s">
        <v>32</v>
      </c>
      <c r="D206" s="2" t="s">
        <v>27</v>
      </c>
      <c r="E206" s="2" t="s">
        <v>33</v>
      </c>
      <c r="G206" s="4">
        <v>50</v>
      </c>
      <c r="Q206" s="4">
        <v>200</v>
      </c>
      <c r="T206" s="4">
        <f t="shared" si="13"/>
        <v>250</v>
      </c>
      <c r="U206" s="36">
        <f>IF(Table2[[#This Row],[Nazwisko]]="","",IF(AND(D206="Nie",E206="Nie"),0,IF(AND(D206="Tak",E206="Nie"),Podsumowanie!$B$19,Podsumowanie!$C$19)))</f>
        <v>430</v>
      </c>
      <c r="V206" s="4">
        <f t="shared" si="11"/>
        <v>-180</v>
      </c>
      <c r="W206" s="55" t="str">
        <f t="shared" si="12"/>
        <v>NOK</v>
      </c>
      <c r="X206" s="4"/>
      <c r="Z206" s="4" t="str">
        <f>Table2[[#This Row],[Nazwisko]]&amp;Table2[[#This Row],[Imię]]</f>
        <v>SmolarekKacper</v>
      </c>
      <c r="AA206" s="2">
        <f>COUNTIF(Z206:$Z$275,Z206)</f>
        <v>1</v>
      </c>
    </row>
    <row r="207" spans="1:27" hidden="1">
      <c r="A207" s="4" t="s">
        <v>331</v>
      </c>
      <c r="B207" s="4" t="s">
        <v>78</v>
      </c>
      <c r="C207" s="2" t="s">
        <v>32</v>
      </c>
      <c r="D207" s="2" t="s">
        <v>33</v>
      </c>
      <c r="E207" s="2" t="s">
        <v>33</v>
      </c>
      <c r="G207" s="4">
        <v>0</v>
      </c>
      <c r="T207" s="4">
        <f t="shared" si="13"/>
        <v>0</v>
      </c>
      <c r="U207" s="36">
        <f>IF(Table2[[#This Row],[Nazwisko]]="","",IF(AND(D207="Nie",E207="Nie"),0,IF(AND(D207="Tak",E207="Nie"),Podsumowanie!$B$19,Podsumowanie!$C$19)))</f>
        <v>0</v>
      </c>
      <c r="V207" s="4">
        <f t="shared" si="11"/>
        <v>0</v>
      </c>
      <c r="W207" s="55" t="str">
        <f t="shared" si="12"/>
        <v/>
      </c>
      <c r="X207" s="4"/>
      <c r="Z207" s="4" t="str">
        <f>Table2[[#This Row],[Nazwisko]]&amp;Table2[[#This Row],[Imię]]</f>
        <v>NowakZuzanna</v>
      </c>
      <c r="AA207" s="2">
        <f>COUNTIF(Z207:$Z$275,Z207)</f>
        <v>2</v>
      </c>
    </row>
    <row r="208" spans="1:27">
      <c r="A208" s="4" t="s">
        <v>332</v>
      </c>
      <c r="B208" s="4" t="s">
        <v>78</v>
      </c>
      <c r="C208" s="2" t="s">
        <v>87</v>
      </c>
      <c r="D208" s="2" t="s">
        <v>27</v>
      </c>
      <c r="E208" s="2" t="s">
        <v>33</v>
      </c>
      <c r="F208" s="2" t="s">
        <v>171</v>
      </c>
      <c r="G208" s="4">
        <v>50</v>
      </c>
      <c r="P208" s="4">
        <v>100</v>
      </c>
      <c r="Q208" s="4">
        <v>100</v>
      </c>
      <c r="T208" s="4">
        <f t="shared" si="13"/>
        <v>250</v>
      </c>
      <c r="U208" s="36">
        <f>IF(Table2[[#This Row],[Nazwisko]]="","",IF(AND(D208="Nie",E208="Nie"),0,IF(AND(D208="Tak",E208="Nie"),Podsumowanie!$B$19,Podsumowanie!$C$19)))</f>
        <v>430</v>
      </c>
      <c r="V208" s="4">
        <f t="shared" si="11"/>
        <v>-180</v>
      </c>
      <c r="W208" s="55" t="str">
        <f t="shared" si="12"/>
        <v>NOK</v>
      </c>
      <c r="X208" s="4"/>
      <c r="Z208" s="4" t="str">
        <f>Table2[[#This Row],[Nazwisko]]&amp;Table2[[#This Row],[Imię]]</f>
        <v>OrsiczZuzanna</v>
      </c>
      <c r="AA208" s="2">
        <f>COUNTIF(Z208:$Z$275,Z208)</f>
        <v>1</v>
      </c>
    </row>
    <row r="209" spans="1:27" hidden="1">
      <c r="A209" s="4" t="s">
        <v>333</v>
      </c>
      <c r="B209" s="4" t="s">
        <v>334</v>
      </c>
      <c r="C209" s="2" t="s">
        <v>32</v>
      </c>
      <c r="D209" s="2" t="s">
        <v>27</v>
      </c>
      <c r="E209" s="2" t="s">
        <v>33</v>
      </c>
      <c r="F209" s="2" t="s">
        <v>335</v>
      </c>
      <c r="G209" s="4">
        <v>50</v>
      </c>
      <c r="Q209" s="4">
        <v>200</v>
      </c>
      <c r="T209" s="4">
        <f t="shared" si="13"/>
        <v>250</v>
      </c>
      <c r="U209" s="36">
        <f>IF(Table2[[#This Row],[Nazwisko]]="","",IF(AND(D209="Nie",E209="Nie"),0,IF(AND(D209="Tak",E209="Nie"),Podsumowanie!$B$19,Podsumowanie!$C$19)))</f>
        <v>430</v>
      </c>
      <c r="V209" s="4">
        <f t="shared" si="11"/>
        <v>-180</v>
      </c>
      <c r="W209" s="55" t="str">
        <f t="shared" si="12"/>
        <v>NOK</v>
      </c>
      <c r="X209" s="4"/>
      <c r="Z209" s="4" t="str">
        <f>Table2[[#This Row],[Nazwisko]]&amp;Table2[[#This Row],[Imię]]</f>
        <v>PiątkowskiŁukasz</v>
      </c>
      <c r="AA209" s="2">
        <f>COUNTIF(Z209:$Z$275,Z209)</f>
        <v>1</v>
      </c>
    </row>
    <row r="210" spans="1:27" hidden="1">
      <c r="A210" s="4" t="s">
        <v>336</v>
      </c>
      <c r="B210" s="4" t="s">
        <v>35</v>
      </c>
      <c r="C210" s="2" t="s">
        <v>113</v>
      </c>
      <c r="D210" s="2" t="s">
        <v>27</v>
      </c>
      <c r="E210" s="2" t="s">
        <v>33</v>
      </c>
      <c r="G210" s="4">
        <v>50</v>
      </c>
      <c r="T210" s="4">
        <f t="shared" si="13"/>
        <v>50</v>
      </c>
      <c r="U210" s="36">
        <f>IF(Table2[[#This Row],[Nazwisko]]="","",IF(AND(D210="Nie",E210="Nie"),0,IF(AND(D210="Tak",E210="Nie"),Podsumowanie!$B$19,Podsumowanie!$C$19)))</f>
        <v>430</v>
      </c>
      <c r="V210" s="4">
        <f t="shared" si="11"/>
        <v>-380</v>
      </c>
      <c r="W210" s="55" t="str">
        <f t="shared" si="12"/>
        <v>NOK</v>
      </c>
      <c r="X210" s="4"/>
      <c r="Z210" s="4" t="str">
        <f>Table2[[#This Row],[Nazwisko]]&amp;Table2[[#This Row],[Imię]]</f>
        <v>WoźniakAleksandra</v>
      </c>
      <c r="AA210" s="2">
        <f>COUNTIF(Z210:$Z$275,Z210)</f>
        <v>1</v>
      </c>
    </row>
    <row r="211" spans="1:27" hidden="1">
      <c r="A211" s="4" t="s">
        <v>337</v>
      </c>
      <c r="B211" s="4" t="s">
        <v>338</v>
      </c>
      <c r="C211" s="2" t="s">
        <v>113</v>
      </c>
      <c r="D211" s="2" t="s">
        <v>33</v>
      </c>
      <c r="E211" s="2" t="s">
        <v>33</v>
      </c>
      <c r="G211" s="4">
        <v>0</v>
      </c>
      <c r="T211" s="4">
        <f t="shared" si="13"/>
        <v>0</v>
      </c>
      <c r="U211" s="36">
        <f>IF(Table2[[#This Row],[Nazwisko]]="","",IF(AND(D211="Nie",E211="Nie"),0,IF(AND(D211="Tak",E211="Nie"),Podsumowanie!$B$19,Podsumowanie!$C$19)))</f>
        <v>0</v>
      </c>
      <c r="V211" s="4">
        <f t="shared" si="11"/>
        <v>0</v>
      </c>
      <c r="W211" s="55" t="str">
        <f t="shared" si="12"/>
        <v/>
      </c>
      <c r="X211" s="4"/>
      <c r="Z211" s="4" t="str">
        <f>Table2[[#This Row],[Nazwisko]]&amp;Table2[[#This Row],[Imię]]</f>
        <v>BucSara</v>
      </c>
      <c r="AA211" s="2">
        <f>COUNTIF(Z211:$Z$275,Z211)</f>
        <v>1</v>
      </c>
    </row>
    <row r="212" spans="1:27" hidden="1">
      <c r="A212" s="4" t="s">
        <v>339</v>
      </c>
      <c r="B212" s="4" t="s">
        <v>78</v>
      </c>
      <c r="C212" s="2" t="s">
        <v>179</v>
      </c>
      <c r="D212" s="2" t="s">
        <v>27</v>
      </c>
      <c r="E212" s="2" t="s">
        <v>27</v>
      </c>
      <c r="G212" s="4">
        <v>50</v>
      </c>
      <c r="T212" s="4">
        <f t="shared" si="13"/>
        <v>50</v>
      </c>
      <c r="U212" s="36">
        <f>IF(Table2[[#This Row],[Nazwisko]]="","",IF(AND(D212="Nie",E212="Nie"),0,IF(AND(D212="Tak",E212="Nie"),Podsumowanie!$B$19,Podsumowanie!$C$19)))</f>
        <v>700</v>
      </c>
      <c r="V212" s="4">
        <f t="shared" si="11"/>
        <v>-650</v>
      </c>
      <c r="W212" s="55" t="str">
        <f t="shared" si="12"/>
        <v>NOK</v>
      </c>
      <c r="X212" s="4"/>
      <c r="Z212" s="4" t="str">
        <f>Table2[[#This Row],[Nazwisko]]&amp;Table2[[#This Row],[Imię]]</f>
        <v>RekhviashviliZuzanna</v>
      </c>
      <c r="AA212" s="2">
        <f>COUNTIF(Z212:$Z$275,Z212)</f>
        <v>1</v>
      </c>
    </row>
    <row r="213" spans="1:27" hidden="1">
      <c r="A213" s="4" t="s">
        <v>340</v>
      </c>
      <c r="B213" s="4" t="s">
        <v>78</v>
      </c>
      <c r="C213" s="2" t="s">
        <v>179</v>
      </c>
      <c r="D213" s="2" t="s">
        <v>27</v>
      </c>
      <c r="E213" s="2" t="s">
        <v>27</v>
      </c>
      <c r="G213" s="4">
        <v>50</v>
      </c>
      <c r="K213" s="4">
        <v>100</v>
      </c>
      <c r="L213" s="4">
        <v>100</v>
      </c>
      <c r="T213" s="4">
        <f t="shared" si="13"/>
        <v>250</v>
      </c>
      <c r="U213" s="36">
        <f>IF(Table2[[#This Row],[Nazwisko]]="","",IF(AND(D213="Nie",E213="Nie"),0,IF(AND(D213="Tak",E213="Nie"),Podsumowanie!$B$19,Podsumowanie!$C$19)))</f>
        <v>700</v>
      </c>
      <c r="V213" s="4">
        <f t="shared" si="11"/>
        <v>-450</v>
      </c>
      <c r="W213" s="55" t="str">
        <f t="shared" si="12"/>
        <v>NOK</v>
      </c>
      <c r="X213" s="4"/>
      <c r="Z213" s="4" t="str">
        <f>Table2[[#This Row],[Nazwisko]]&amp;Table2[[#This Row],[Imię]]</f>
        <v>DeptaZuzanna</v>
      </c>
      <c r="AA213" s="2">
        <f>COUNTIF(Z213:$Z$275,Z213)</f>
        <v>1</v>
      </c>
    </row>
    <row r="214" spans="1:27" hidden="1">
      <c r="A214" s="4" t="s">
        <v>341</v>
      </c>
      <c r="B214" s="4" t="s">
        <v>223</v>
      </c>
      <c r="C214" s="2" t="s">
        <v>179</v>
      </c>
      <c r="D214" s="2" t="s">
        <v>27</v>
      </c>
      <c r="E214" s="2" t="s">
        <v>27</v>
      </c>
      <c r="G214" s="4">
        <v>50</v>
      </c>
      <c r="K214" s="4">
        <v>100</v>
      </c>
      <c r="L214" s="4">
        <v>100</v>
      </c>
      <c r="T214" s="4">
        <f t="shared" si="13"/>
        <v>250</v>
      </c>
      <c r="U214" s="36">
        <f>IF(Table2[[#This Row],[Nazwisko]]="","",IF(AND(D214="Nie",E214="Nie"),0,IF(AND(D214="Tak",E214="Nie"),Podsumowanie!$B$19,Podsumowanie!$C$19)))</f>
        <v>700</v>
      </c>
      <c r="V214" s="4">
        <f t="shared" si="11"/>
        <v>-450</v>
      </c>
      <c r="W214" s="55" t="str">
        <f t="shared" si="12"/>
        <v>NOK</v>
      </c>
      <c r="X214" s="4"/>
      <c r="Z214" s="4" t="str">
        <f>Table2[[#This Row],[Nazwisko]]&amp;Table2[[#This Row],[Imię]]</f>
        <v>ŁągiewkaMarta</v>
      </c>
      <c r="AA214" s="2">
        <f>COUNTIF(Z214:$Z$275,Z214)</f>
        <v>1</v>
      </c>
    </row>
    <row r="215" spans="1:27" hidden="1">
      <c r="A215" s="4" t="s">
        <v>342</v>
      </c>
      <c r="B215" s="4" t="s">
        <v>57</v>
      </c>
      <c r="C215" s="2" t="s">
        <v>26</v>
      </c>
      <c r="D215" s="2" t="s">
        <v>27</v>
      </c>
      <c r="E215" s="2" t="s">
        <v>27</v>
      </c>
      <c r="G215" s="4">
        <v>50</v>
      </c>
      <c r="T215" s="4">
        <f t="shared" si="13"/>
        <v>50</v>
      </c>
      <c r="U215" s="36">
        <f>IF(Table2[[#This Row],[Nazwisko]]="","",IF(AND(D215="Nie",E215="Nie"),0,IF(AND(D215="Tak",E215="Nie"),Podsumowanie!$B$19,Podsumowanie!$C$19)))</f>
        <v>700</v>
      </c>
      <c r="V215" s="4">
        <f t="shared" si="11"/>
        <v>-650</v>
      </c>
      <c r="W215" s="55" t="str">
        <f t="shared" si="12"/>
        <v>NOK</v>
      </c>
      <c r="X215" s="4"/>
      <c r="Z215" s="4" t="str">
        <f>Table2[[#This Row],[Nazwisko]]&amp;Table2[[#This Row],[Imię]]</f>
        <v>StępniewskaOliwia</v>
      </c>
      <c r="AA215" s="2">
        <f>COUNTIF(Z215:$Z$275,Z215)</f>
        <v>1</v>
      </c>
    </row>
    <row r="216" spans="1:27" hidden="1">
      <c r="A216" s="4" t="s">
        <v>343</v>
      </c>
      <c r="B216" s="4" t="s">
        <v>31</v>
      </c>
      <c r="C216" s="2" t="s">
        <v>32</v>
      </c>
      <c r="D216" s="2" t="s">
        <v>27</v>
      </c>
      <c r="E216" s="2" t="s">
        <v>33</v>
      </c>
      <c r="G216" s="4">
        <v>50</v>
      </c>
      <c r="Q216" s="4">
        <v>200</v>
      </c>
      <c r="T216" s="4">
        <f t="shared" si="13"/>
        <v>250</v>
      </c>
      <c r="U216" s="36">
        <f>IF(Table2[[#This Row],[Nazwisko]]="","",IF(AND(D216="Nie",E216="Nie"),0,IF(AND(D216="Tak",E216="Nie"),Podsumowanie!$B$19,Podsumowanie!$C$19)))</f>
        <v>430</v>
      </c>
      <c r="V216" s="4">
        <f t="shared" si="11"/>
        <v>-180</v>
      </c>
      <c r="W216" s="55" t="str">
        <f t="shared" si="12"/>
        <v>NOK</v>
      </c>
      <c r="X216" s="4"/>
      <c r="Z216" s="4" t="str">
        <f>Table2[[#This Row],[Nazwisko]]&amp;Table2[[#This Row],[Imię]]</f>
        <v>CyniakMikołaj</v>
      </c>
      <c r="AA216" s="2">
        <f>COUNTIF(Z216:$Z$275,Z216)</f>
        <v>1</v>
      </c>
    </row>
    <row r="217" spans="1:27" hidden="1">
      <c r="A217" s="4" t="s">
        <v>344</v>
      </c>
      <c r="B217" s="4" t="s">
        <v>80</v>
      </c>
      <c r="C217" s="2" t="s">
        <v>32</v>
      </c>
      <c r="D217" s="2" t="s">
        <v>27</v>
      </c>
      <c r="E217" s="2" t="s">
        <v>33</v>
      </c>
      <c r="G217" s="4">
        <v>50</v>
      </c>
      <c r="Q217" s="4">
        <v>200</v>
      </c>
      <c r="T217" s="4">
        <f t="shared" si="13"/>
        <v>250</v>
      </c>
      <c r="U217" s="36">
        <f>IF(Table2[[#This Row],[Nazwisko]]="","",IF(AND(D217="Nie",E217="Nie"),0,IF(AND(D217="Tak",E217="Nie"),Podsumowanie!$B$19,Podsumowanie!$C$19)))</f>
        <v>430</v>
      </c>
      <c r="V217" s="4">
        <f t="shared" si="11"/>
        <v>-180</v>
      </c>
      <c r="W217" s="55" t="str">
        <f t="shared" si="12"/>
        <v>NOK</v>
      </c>
      <c r="X217" s="4"/>
      <c r="Z217" s="4" t="str">
        <f>Table2[[#This Row],[Nazwisko]]&amp;Table2[[#This Row],[Imię]]</f>
        <v>PłomińskiSzymon</v>
      </c>
      <c r="AA217" s="2">
        <f>COUNTIF(Z217:$Z$275,Z217)</f>
        <v>1</v>
      </c>
    </row>
    <row r="218" spans="1:27" hidden="1">
      <c r="A218" s="117" t="s">
        <v>234</v>
      </c>
      <c r="B218" s="4" t="s">
        <v>78</v>
      </c>
      <c r="C218" s="2" t="s">
        <v>188</v>
      </c>
      <c r="D218" s="2" t="s">
        <v>27</v>
      </c>
      <c r="E218" s="2" t="s">
        <v>33</v>
      </c>
      <c r="G218" s="4">
        <v>50</v>
      </c>
      <c r="K218" s="4">
        <v>100</v>
      </c>
      <c r="L218" s="4">
        <v>100</v>
      </c>
      <c r="T218" s="4">
        <f t="shared" si="13"/>
        <v>250</v>
      </c>
      <c r="U218" s="36">
        <f>IF(Table2[[#This Row],[Nazwisko]]="","",IF(AND(D218="Nie",E218="Nie"),0,IF(AND(D218="Tak",E218="Nie"),Podsumowanie!$B$19,Podsumowanie!$C$19)))</f>
        <v>430</v>
      </c>
      <c r="V218" s="4">
        <f t="shared" si="11"/>
        <v>-180</v>
      </c>
      <c r="W218" s="55" t="str">
        <f t="shared" si="12"/>
        <v>NOK</v>
      </c>
      <c r="X218" s="4"/>
      <c r="Z218" s="4" t="str">
        <f>Table2[[#This Row],[Nazwisko]]&amp;Table2[[#This Row],[Imię]]</f>
        <v>OścikZuzanna</v>
      </c>
      <c r="AA218" s="2">
        <f>COUNTIF(Z218:$Z$275,Z218)</f>
        <v>1</v>
      </c>
    </row>
    <row r="219" spans="1:27" hidden="1">
      <c r="A219" s="117" t="s">
        <v>345</v>
      </c>
      <c r="B219" s="4" t="s">
        <v>52</v>
      </c>
      <c r="C219" s="2" t="s">
        <v>188</v>
      </c>
      <c r="D219" s="2" t="s">
        <v>27</v>
      </c>
      <c r="E219" s="2" t="s">
        <v>33</v>
      </c>
      <c r="G219" s="4">
        <v>50</v>
      </c>
      <c r="K219" s="4">
        <v>100</v>
      </c>
      <c r="L219" s="4">
        <v>100</v>
      </c>
      <c r="T219" s="4">
        <f t="shared" si="13"/>
        <v>250</v>
      </c>
      <c r="U219" s="36">
        <f>IF(Table2[[#This Row],[Nazwisko]]="","",IF(AND(D219="Nie",E219="Nie"),0,IF(AND(D219="Tak",E219="Nie"),Podsumowanie!$B$19,Podsumowanie!$C$19)))</f>
        <v>430</v>
      </c>
      <c r="V219" s="4">
        <f t="shared" si="11"/>
        <v>-180</v>
      </c>
      <c r="W219" s="55" t="str">
        <f t="shared" si="12"/>
        <v>NOK</v>
      </c>
      <c r="X219" s="4"/>
      <c r="Z219" s="4" t="str">
        <f>Table2[[#This Row],[Nazwisko]]&amp;Table2[[#This Row],[Imię]]</f>
        <v>MajakWiktoria</v>
      </c>
      <c r="AA219" s="2">
        <f>COUNTIF(Z219:$Z$275,Z219)</f>
        <v>1</v>
      </c>
    </row>
    <row r="220" spans="1:27">
      <c r="A220" s="4" t="s">
        <v>346</v>
      </c>
      <c r="B220" s="4" t="s">
        <v>347</v>
      </c>
      <c r="C220" s="2" t="s">
        <v>87</v>
      </c>
      <c r="D220" s="2" t="s">
        <v>27</v>
      </c>
      <c r="E220" s="2" t="s">
        <v>27</v>
      </c>
      <c r="G220" s="4">
        <v>50</v>
      </c>
      <c r="P220" s="4">
        <v>100</v>
      </c>
      <c r="Q220" s="4">
        <v>200</v>
      </c>
      <c r="T220" s="4">
        <f t="shared" si="13"/>
        <v>350</v>
      </c>
      <c r="U220" s="36">
        <f>IF(Table2[[#This Row],[Nazwisko]]="","",IF(AND(D220="Nie",E220="Nie"),0,IF(AND(D220="Tak",E220="Nie"),Podsumowanie!$B$19,Podsumowanie!$C$19)))</f>
        <v>700</v>
      </c>
      <c r="V220" s="4">
        <f t="shared" si="11"/>
        <v>-350</v>
      </c>
      <c r="W220" s="55" t="str">
        <f t="shared" si="12"/>
        <v>NOK</v>
      </c>
      <c r="X220" s="4"/>
      <c r="Z220" s="4" t="str">
        <f>Table2[[#This Row],[Nazwisko]]&amp;Table2[[#This Row],[Imię]]</f>
        <v>FrankowskaZosia</v>
      </c>
      <c r="AA220" s="2">
        <f>COUNTIF(Z220:$Z$275,Z220)</f>
        <v>1</v>
      </c>
    </row>
    <row r="221" spans="1:27" hidden="1">
      <c r="A221" s="4" t="s">
        <v>348</v>
      </c>
      <c r="B221" s="4" t="s">
        <v>168</v>
      </c>
      <c r="C221" s="2" t="s">
        <v>32</v>
      </c>
      <c r="D221" s="2" t="s">
        <v>27</v>
      </c>
      <c r="E221" s="2" t="s">
        <v>33</v>
      </c>
      <c r="G221" s="4">
        <v>50</v>
      </c>
      <c r="Q221" s="4">
        <v>200</v>
      </c>
      <c r="T221" s="4">
        <f t="shared" si="13"/>
        <v>250</v>
      </c>
      <c r="U221" s="36">
        <f>IF(Table2[[#This Row],[Nazwisko]]="","",IF(AND(D221="Nie",E221="Nie"),0,IF(AND(D221="Tak",E221="Nie"),Podsumowanie!$B$19,Podsumowanie!$C$19)))</f>
        <v>430</v>
      </c>
      <c r="V221" s="4">
        <f t="shared" si="11"/>
        <v>-180</v>
      </c>
      <c r="W221" s="55" t="str">
        <f t="shared" si="12"/>
        <v>NOK</v>
      </c>
      <c r="X221" s="4"/>
      <c r="Z221" s="4" t="str">
        <f>Table2[[#This Row],[Nazwisko]]&amp;Table2[[#This Row],[Imię]]</f>
        <v>TomalaJan</v>
      </c>
      <c r="AA221" s="2">
        <f>COUNTIF(Z221:$Z$275,Z221)</f>
        <v>1</v>
      </c>
    </row>
    <row r="222" spans="1:27" hidden="1">
      <c r="A222" s="4" t="s">
        <v>349</v>
      </c>
      <c r="B222" s="4" t="s">
        <v>100</v>
      </c>
      <c r="C222" s="2" t="s">
        <v>179</v>
      </c>
      <c r="D222" s="2" t="s">
        <v>27</v>
      </c>
      <c r="E222" s="2" t="s">
        <v>27</v>
      </c>
      <c r="G222" s="4">
        <v>50</v>
      </c>
      <c r="K222" s="4">
        <v>100</v>
      </c>
      <c r="L222" s="4">
        <v>100</v>
      </c>
      <c r="T222" s="4">
        <f t="shared" si="13"/>
        <v>250</v>
      </c>
      <c r="U222" s="36">
        <f>IF(Table2[[#This Row],[Nazwisko]]="","",IF(AND(D222="Nie",E222="Nie"),0,IF(AND(D222="Tak",E222="Nie"),Podsumowanie!$B$19,Podsumowanie!$C$19)))</f>
        <v>700</v>
      </c>
      <c r="V222" s="4">
        <f t="shared" si="11"/>
        <v>-450</v>
      </c>
      <c r="W222" s="55" t="str">
        <f t="shared" si="12"/>
        <v>NOK</v>
      </c>
      <c r="X222" s="4"/>
      <c r="Z222" s="4" t="str">
        <f>Table2[[#This Row],[Nazwisko]]&amp;Table2[[#This Row],[Imię]]</f>
        <v>WaladaKaja</v>
      </c>
      <c r="AA222" s="2">
        <f>COUNTIF(Z222:$Z$275,Z222)</f>
        <v>1</v>
      </c>
    </row>
    <row r="223" spans="1:27">
      <c r="A223" s="4" t="s">
        <v>293</v>
      </c>
      <c r="B223" s="4" t="s">
        <v>350</v>
      </c>
      <c r="C223" s="2" t="s">
        <v>87</v>
      </c>
      <c r="D223" s="2" t="s">
        <v>27</v>
      </c>
      <c r="E223" s="2" t="s">
        <v>27</v>
      </c>
      <c r="G223" s="4">
        <v>50</v>
      </c>
      <c r="Q223" s="4">
        <v>200</v>
      </c>
      <c r="T223" s="4">
        <f t="shared" si="13"/>
        <v>250</v>
      </c>
      <c r="U223" s="36">
        <f>IF(Table2[[#This Row],[Nazwisko]]="","",IF(AND(D223="Nie",E223="Nie"),0,IF(AND(D223="Tak",E223="Nie"),Podsumowanie!$B$19,Podsumowanie!$C$19)))</f>
        <v>700</v>
      </c>
      <c r="V223" s="4">
        <f t="shared" si="11"/>
        <v>-450</v>
      </c>
      <c r="W223" s="55" t="str">
        <f t="shared" si="12"/>
        <v>NOK</v>
      </c>
      <c r="X223" s="4"/>
      <c r="Z223" s="4" t="str">
        <f>Table2[[#This Row],[Nazwisko]]&amp;Table2[[#This Row],[Imię]]</f>
        <v>HajdasLiliana</v>
      </c>
      <c r="AA223" s="2">
        <f>COUNTIF(Z223:$Z$275,Z223)</f>
        <v>1</v>
      </c>
    </row>
    <row r="224" spans="1:27" hidden="1">
      <c r="A224" s="117" t="s">
        <v>351</v>
      </c>
      <c r="B224" s="4" t="s">
        <v>226</v>
      </c>
      <c r="C224" s="2" t="s">
        <v>188</v>
      </c>
      <c r="D224" s="2" t="s">
        <v>27</v>
      </c>
      <c r="E224" s="2" t="s">
        <v>27</v>
      </c>
      <c r="G224" s="4">
        <v>50</v>
      </c>
      <c r="K224" s="4">
        <v>100</v>
      </c>
      <c r="L224" s="4">
        <v>100</v>
      </c>
      <c r="T224" s="4">
        <f t="shared" si="13"/>
        <v>250</v>
      </c>
      <c r="U224" s="36">
        <f>IF(Table2[[#This Row],[Nazwisko]]="","",IF(AND(D224="Nie",E224="Nie"),0,IF(AND(D224="Tak",E224="Nie"),Podsumowanie!$B$19,Podsumowanie!$C$19)))</f>
        <v>700</v>
      </c>
      <c r="V224" s="4">
        <f t="shared" si="11"/>
        <v>-450</v>
      </c>
      <c r="W224" s="55" t="str">
        <f t="shared" si="12"/>
        <v>NOK</v>
      </c>
      <c r="X224" s="4"/>
      <c r="Z224" s="4" t="str">
        <f>Table2[[#This Row],[Nazwisko]]&amp;Table2[[#This Row],[Imię]]</f>
        <v>FilaAmelia</v>
      </c>
      <c r="AA224" s="2">
        <f>COUNTIF(Z224:$Z$275,Z224)</f>
        <v>1</v>
      </c>
    </row>
    <row r="225" spans="1:27">
      <c r="A225" s="4" t="s">
        <v>352</v>
      </c>
      <c r="B225" s="4" t="s">
        <v>353</v>
      </c>
      <c r="C225" s="2" t="s">
        <v>87</v>
      </c>
      <c r="D225" s="2" t="s">
        <v>33</v>
      </c>
      <c r="E225" s="2" t="s">
        <v>33</v>
      </c>
      <c r="G225" s="4">
        <v>50</v>
      </c>
      <c r="T225" s="111">
        <f t="shared" si="13"/>
        <v>50</v>
      </c>
      <c r="U225" s="112">
        <f>IF(Table2[[#This Row],[Nazwisko]]="","",IF(AND(D225="Nie",E225="Nie"),0,IF(AND(D225="Tak",E225="Nie"),Podsumowanie!$B$19,Podsumowanie!$C$19)))</f>
        <v>0</v>
      </c>
      <c r="V225" s="111">
        <f t="shared" si="11"/>
        <v>50</v>
      </c>
      <c r="W225" s="113" t="str">
        <f t="shared" si="12"/>
        <v>OK</v>
      </c>
      <c r="X225" s="4"/>
      <c r="Z225" s="4" t="str">
        <f>Table2[[#This Row],[Nazwisko]]&amp;Table2[[#This Row],[Imię]]</f>
        <v>Michałowski-BryłaKarol</v>
      </c>
      <c r="AA225" s="2">
        <f>COUNTIF(Z225:$Z$275,Z225)</f>
        <v>1</v>
      </c>
    </row>
    <row r="226" spans="1:27" hidden="1">
      <c r="A226" s="4" t="str">
        <f>IF('Ankieta#1_13.04.26'!F225="","",'Ankieta#1_13.04.26'!F225)</f>
        <v>Sawka</v>
      </c>
      <c r="B226" s="4" t="str">
        <f>IF('Ankieta#1_13.04.26'!E225="","",'Ankieta#1_13.04.26'!E225)</f>
        <v>Oliwia</v>
      </c>
      <c r="C226" s="2" t="str">
        <f>IF('Ankieta#1_13.04.26'!G225="","",'Ankieta#1_13.04.26'!G225)</f>
        <v>3E</v>
      </c>
      <c r="D226" s="2" t="str">
        <f>IF('Ankieta#1_13.04.26'!H225="","",'Ankieta#1_13.04.26'!H225)</f>
        <v>Tak</v>
      </c>
      <c r="E226" s="2" t="str">
        <f>IF('Ankieta#1_13.04.26'!I225="","",'Ankieta#1_13.04.26'!I225)</f>
        <v>Nie</v>
      </c>
      <c r="G226" s="4">
        <v>50</v>
      </c>
      <c r="T226" s="4">
        <f t="shared" si="13"/>
        <v>50</v>
      </c>
      <c r="U226" s="36">
        <f>IF(Table2[[#This Row],[Nazwisko]]="","",IF(AND(D226="Nie",E226="Nie"),0,IF(AND(D226="Tak",E226="Nie"),Podsumowanie!$B$19,Podsumowanie!$C$19)))</f>
        <v>430</v>
      </c>
      <c r="V226" s="4">
        <f t="shared" si="11"/>
        <v>-380</v>
      </c>
      <c r="W226" s="55" t="str">
        <f t="shared" si="12"/>
        <v>NOK</v>
      </c>
      <c r="X226" s="4"/>
      <c r="Z226" s="4" t="str">
        <f>Table2[[#This Row],[Nazwisko]]&amp;Table2[[#This Row],[Imię]]</f>
        <v>SawkaOliwia</v>
      </c>
      <c r="AA226" s="2">
        <f>COUNTIF(Z226:$Z$275,Z226)</f>
        <v>1</v>
      </c>
    </row>
    <row r="227" spans="1:27" hidden="1">
      <c r="A227" s="4" t="str">
        <f>IF('Ankieta#1_13.04.26'!F226="","",'Ankieta#1_13.04.26'!F226)</f>
        <v>Olczyk</v>
      </c>
      <c r="B227" s="4" t="str">
        <f>IF('Ankieta#1_13.04.26'!E226="","",'Ankieta#1_13.04.26'!E226)</f>
        <v>Natalia</v>
      </c>
      <c r="C227" s="2" t="str">
        <f>IF('Ankieta#1_13.04.26'!G226="","",'Ankieta#1_13.04.26'!G226)</f>
        <v>3E</v>
      </c>
      <c r="D227" s="2" t="str">
        <f>IF('Ankieta#1_13.04.26'!H226="","",'Ankieta#1_13.04.26'!H226)</f>
        <v>Tak</v>
      </c>
      <c r="E227" s="2" t="str">
        <f>IF('Ankieta#1_13.04.26'!I226="","",'Ankieta#1_13.04.26'!I226)</f>
        <v>Nie</v>
      </c>
      <c r="G227" s="4">
        <v>50</v>
      </c>
      <c r="T227" s="4">
        <f t="shared" si="13"/>
        <v>50</v>
      </c>
      <c r="U227" s="36">
        <f>IF(Table2[[#This Row],[Nazwisko]]="","",IF(AND(D227="Nie",E227="Nie"),0,IF(AND(D227="Tak",E227="Nie"),Podsumowanie!$B$19,Podsumowanie!$C$19)))</f>
        <v>430</v>
      </c>
      <c r="V227" s="4">
        <f t="shared" si="11"/>
        <v>-380</v>
      </c>
      <c r="W227" s="55" t="str">
        <f t="shared" si="12"/>
        <v>NOK</v>
      </c>
      <c r="X227" s="4"/>
      <c r="Z227" s="4" t="str">
        <f>Table2[[#This Row],[Nazwisko]]&amp;Table2[[#This Row],[Imię]]</f>
        <v>OlczykNatalia</v>
      </c>
      <c r="AA227" s="2">
        <f>COUNTIF(Z227:$Z$275,Z227)</f>
        <v>1</v>
      </c>
    </row>
    <row r="228" spans="1:27" hidden="1">
      <c r="A228" s="4" t="str">
        <f>IF('Ankieta#1_13.04.26'!F227="","",'Ankieta#1_13.04.26'!F227)</f>
        <v xml:space="preserve">Bogacka </v>
      </c>
      <c r="B228" s="4" t="str">
        <f>IF('Ankieta#1_13.04.26'!E227="","",'Ankieta#1_13.04.26'!E227)</f>
        <v xml:space="preserve">Pola </v>
      </c>
      <c r="C228" s="2" t="str">
        <f>IF('Ankieta#1_13.04.26'!G227="","",'Ankieta#1_13.04.26'!G227)</f>
        <v>3E</v>
      </c>
      <c r="D228" s="2" t="str">
        <f>IF('Ankieta#1_13.04.26'!H227="","",'Ankieta#1_13.04.26'!H227)</f>
        <v>Tak</v>
      </c>
      <c r="E228" s="2" t="str">
        <f>IF('Ankieta#1_13.04.26'!I227="","",'Ankieta#1_13.04.26'!I227)</f>
        <v>Nie</v>
      </c>
      <c r="G228" s="4">
        <v>50</v>
      </c>
      <c r="T228" s="4">
        <f t="shared" si="13"/>
        <v>50</v>
      </c>
      <c r="U228" s="36">
        <f>IF(Table2[[#This Row],[Nazwisko]]="","",IF(AND(D228="Nie",E228="Nie"),0,IF(AND(D228="Tak",E228="Nie"),Podsumowanie!$B$19,Podsumowanie!$C$19)))</f>
        <v>430</v>
      </c>
      <c r="V228" s="4">
        <f t="shared" si="11"/>
        <v>-380</v>
      </c>
      <c r="W228" s="55" t="str">
        <f t="shared" si="12"/>
        <v>NOK</v>
      </c>
      <c r="X228" s="4"/>
      <c r="Z228" s="4" t="str">
        <f>Table2[[#This Row],[Nazwisko]]&amp;Table2[[#This Row],[Imię]]</f>
        <v xml:space="preserve">Bogacka Pola </v>
      </c>
      <c r="AA228" s="2">
        <f>COUNTIF(Z228:$Z$275,Z228)</f>
        <v>1</v>
      </c>
    </row>
    <row r="229" spans="1:27" hidden="1">
      <c r="A229" s="4" t="str">
        <f>IF('Ankieta#1_13.04.26'!F228="","",'Ankieta#1_13.04.26'!F228)</f>
        <v xml:space="preserve">Rajtar </v>
      </c>
      <c r="B229" s="4" t="str">
        <f>IF('Ankieta#1_13.04.26'!E228="","",'Ankieta#1_13.04.26'!E228)</f>
        <v>Marta</v>
      </c>
      <c r="C229" s="2" t="str">
        <f>IF('Ankieta#1_13.04.26'!G228="","",'Ankieta#1_13.04.26'!G228)</f>
        <v>3E</v>
      </c>
      <c r="D229" s="2" t="str">
        <f>IF('Ankieta#1_13.04.26'!H228="","",'Ankieta#1_13.04.26'!H228)</f>
        <v>Tak</v>
      </c>
      <c r="E229" s="2" t="str">
        <f>IF('Ankieta#1_13.04.26'!I228="","",'Ankieta#1_13.04.26'!I228)</f>
        <v>Nie</v>
      </c>
      <c r="G229" s="4">
        <v>50</v>
      </c>
      <c r="T229" s="4">
        <f t="shared" si="13"/>
        <v>50</v>
      </c>
      <c r="U229" s="36">
        <f>IF(Table2[[#This Row],[Nazwisko]]="","",IF(AND(D229="Nie",E229="Nie"),0,IF(AND(D229="Tak",E229="Nie"),Podsumowanie!$B$19,Podsumowanie!$C$19)))</f>
        <v>430</v>
      </c>
      <c r="V229" s="4">
        <f t="shared" si="11"/>
        <v>-380</v>
      </c>
      <c r="W229" s="55" t="str">
        <f t="shared" si="12"/>
        <v>NOK</v>
      </c>
      <c r="X229" s="4"/>
      <c r="Z229" s="4" t="str">
        <f>Table2[[#This Row],[Nazwisko]]&amp;Table2[[#This Row],[Imię]]</f>
        <v>Rajtar Marta</v>
      </c>
      <c r="AA229" s="2">
        <f>COUNTIF(Z229:$Z$275,Z229)</f>
        <v>1</v>
      </c>
    </row>
    <row r="230" spans="1:27" hidden="1">
      <c r="A230" s="117" t="str">
        <f>IF('Ankieta#1_13.04.26'!F229="","",'Ankieta#1_13.04.26'!F229)</f>
        <v xml:space="preserve">Grzywna </v>
      </c>
      <c r="B230" s="4" t="str">
        <f>IF('Ankieta#1_13.04.26'!E229="","",'Ankieta#1_13.04.26'!E229)</f>
        <v xml:space="preserve">Aleksandra </v>
      </c>
      <c r="C230" s="2" t="str">
        <f>IF('Ankieta#1_13.04.26'!G229="","",'Ankieta#1_13.04.26'!G229)</f>
        <v>3D</v>
      </c>
      <c r="D230" s="2" t="str">
        <f>IF('Ankieta#1_13.04.26'!H229="","",'Ankieta#1_13.04.26'!H229)</f>
        <v>Tak</v>
      </c>
      <c r="E230" s="2" t="str">
        <f>IF('Ankieta#1_13.04.26'!I229="","",'Ankieta#1_13.04.26'!I229)</f>
        <v>Nie</v>
      </c>
      <c r="G230" s="4">
        <v>50</v>
      </c>
      <c r="K230" s="4">
        <v>100</v>
      </c>
      <c r="L230" s="4">
        <v>100</v>
      </c>
      <c r="T230" s="4">
        <f t="shared" si="13"/>
        <v>250</v>
      </c>
      <c r="U230" s="36">
        <f>IF(Table2[[#This Row],[Nazwisko]]="","",IF(AND(D230="Nie",E230="Nie"),0,IF(AND(D230="Tak",E230="Nie"),Podsumowanie!$B$19,Podsumowanie!$C$19)))</f>
        <v>430</v>
      </c>
      <c r="V230" s="4">
        <f t="shared" si="11"/>
        <v>-180</v>
      </c>
      <c r="W230" s="55" t="str">
        <f t="shared" si="12"/>
        <v>NOK</v>
      </c>
      <c r="X230" s="4"/>
      <c r="Z230" s="4" t="str">
        <f>Table2[[#This Row],[Nazwisko]]&amp;Table2[[#This Row],[Imię]]</f>
        <v xml:space="preserve">Grzywna Aleksandra </v>
      </c>
      <c r="AA230" s="2">
        <f>COUNTIF(Z230:$Z$275,Z230)</f>
        <v>1</v>
      </c>
    </row>
    <row r="231" spans="1:27" hidden="1">
      <c r="A231" s="117" t="str">
        <f>IF('Ankieta#1_13.04.26'!F230="","",'Ankieta#1_13.04.26'!F230)</f>
        <v>Chmiel</v>
      </c>
      <c r="B231" s="4" t="str">
        <f>IF('Ankieta#1_13.04.26'!E230="","",'Ankieta#1_13.04.26'!E230)</f>
        <v>Julia</v>
      </c>
      <c r="C231" s="2" t="str">
        <f>IF('Ankieta#1_13.04.26'!G230="","",'Ankieta#1_13.04.26'!G230)</f>
        <v>3D</v>
      </c>
      <c r="D231" s="2" t="str">
        <f>IF('Ankieta#1_13.04.26'!H230="","",'Ankieta#1_13.04.26'!H230)</f>
        <v>Tak</v>
      </c>
      <c r="E231" s="2" t="str">
        <f>IF('Ankieta#1_13.04.26'!I230="","",'Ankieta#1_13.04.26'!I230)</f>
        <v>Tak</v>
      </c>
      <c r="G231" s="4">
        <v>50</v>
      </c>
      <c r="K231" s="4">
        <v>100</v>
      </c>
      <c r="L231" s="4">
        <v>100</v>
      </c>
      <c r="T231" s="4">
        <f t="shared" ref="T231:T235" si="14">SUM(G231:S231)</f>
        <v>250</v>
      </c>
      <c r="U231" s="36">
        <f>IF(Table2[[#This Row],[Nazwisko]]="","",IF(AND(D231="Nie",E231="Nie"),0,IF(AND(D231="Tak",E231="Nie"),Podsumowanie!$B$19,Podsumowanie!$C$19)))</f>
        <v>700</v>
      </c>
      <c r="V231" s="4">
        <f t="shared" si="11"/>
        <v>-450</v>
      </c>
      <c r="W231" s="55" t="str">
        <f t="shared" si="12"/>
        <v>NOK</v>
      </c>
      <c r="X231" s="4"/>
      <c r="Z231" s="4" t="str">
        <f>Table2[[#This Row],[Nazwisko]]&amp;Table2[[#This Row],[Imię]]</f>
        <v>ChmielJulia</v>
      </c>
      <c r="AA231" s="2">
        <f>COUNTIF(Z231:$Z$275,Z231)</f>
        <v>1</v>
      </c>
    </row>
    <row r="232" spans="1:27" hidden="1">
      <c r="A232" s="117" t="str">
        <f>IF('Ankieta#1_13.04.26'!F231="","",'Ankieta#1_13.04.26'!F231)</f>
        <v>Puczkowski</v>
      </c>
      <c r="B232" s="4" t="str">
        <f>IF('Ankieta#1_13.04.26'!E231="","",'Ankieta#1_13.04.26'!E231)</f>
        <v>Karol</v>
      </c>
      <c r="C232" s="2" t="str">
        <f>IF('Ankieta#1_13.04.26'!G231="","",'Ankieta#1_13.04.26'!G231)</f>
        <v>3D</v>
      </c>
      <c r="D232" s="2" t="str">
        <f>IF('Ankieta#1_13.04.26'!H231="","",'Ankieta#1_13.04.26'!H231)</f>
        <v>Tak</v>
      </c>
      <c r="E232" s="2" t="str">
        <f>IF('Ankieta#1_13.04.26'!I231="","",'Ankieta#1_13.04.26'!I231)</f>
        <v>Tak</v>
      </c>
      <c r="G232" s="4">
        <v>50</v>
      </c>
      <c r="K232" s="4">
        <v>100</v>
      </c>
      <c r="L232" s="4">
        <v>100</v>
      </c>
      <c r="M232" s="4">
        <v>100</v>
      </c>
      <c r="T232" s="4">
        <f t="shared" si="14"/>
        <v>350</v>
      </c>
      <c r="U232" s="36">
        <f>IF(Table2[[#This Row],[Nazwisko]]="","",IF(AND(D232="Nie",E232="Nie"),0,IF(AND(D232="Tak",E232="Nie"),Podsumowanie!$B$19,Podsumowanie!$C$19)))</f>
        <v>700</v>
      </c>
      <c r="V232" s="4">
        <f t="shared" si="11"/>
        <v>-350</v>
      </c>
      <c r="W232" s="55" t="str">
        <f t="shared" si="12"/>
        <v>NOK</v>
      </c>
      <c r="X232" s="4"/>
      <c r="Z232" s="4" t="str">
        <f>Table2[[#This Row],[Nazwisko]]&amp;Table2[[#This Row],[Imię]]</f>
        <v>PuczkowskiKarol</v>
      </c>
      <c r="AA232" s="2">
        <f>COUNTIF(Z232:$Z$275,Z232)</f>
        <v>1</v>
      </c>
    </row>
    <row r="233" spans="1:27" hidden="1">
      <c r="A233" s="4" t="str">
        <f>IF('Ankieta#1_13.04.26'!F232="","",'Ankieta#1_13.04.26'!F232)</f>
        <v>Kowalczyk</v>
      </c>
      <c r="B233" s="4" t="str">
        <f>IF('Ankieta#1_13.04.26'!E232="","",'Ankieta#1_13.04.26'!E232)</f>
        <v>Julia</v>
      </c>
      <c r="C233" s="2" t="str">
        <f>IF('Ankieta#1_13.04.26'!G232="","",'Ankieta#1_13.04.26'!G232)</f>
        <v>3E</v>
      </c>
      <c r="D233" s="2" t="str">
        <f>IF('Ankieta#1_13.04.26'!H232="","",'Ankieta#1_13.04.26'!H232)</f>
        <v>Tak</v>
      </c>
      <c r="E233" s="2" t="str">
        <f>IF('Ankieta#1_13.04.26'!I232="","",'Ankieta#1_13.04.26'!I232)</f>
        <v>Nie</v>
      </c>
      <c r="G233" s="4">
        <v>50</v>
      </c>
      <c r="T233" s="4">
        <f t="shared" si="14"/>
        <v>50</v>
      </c>
      <c r="U233" s="36">
        <f>IF(Table2[[#This Row],[Nazwisko]]="","",IF(AND(D233="Nie",E233="Nie"),0,IF(AND(D233="Tak",E233="Nie"),Podsumowanie!$B$19,Podsumowanie!$C$19)))</f>
        <v>430</v>
      </c>
      <c r="V233" s="4">
        <f t="shared" si="11"/>
        <v>-380</v>
      </c>
      <c r="W233" s="55" t="str">
        <f t="shared" si="12"/>
        <v>NOK</v>
      </c>
      <c r="X233" s="4"/>
      <c r="Z233" s="4" t="str">
        <f>Table2[[#This Row],[Nazwisko]]&amp;Table2[[#This Row],[Imię]]</f>
        <v>KowalczykJulia</v>
      </c>
      <c r="AA233" s="2">
        <f>COUNTIF(Z233:$Z$275,Z233)</f>
        <v>1</v>
      </c>
    </row>
    <row r="234" spans="1:27" hidden="1">
      <c r="A234" s="4" t="str">
        <f>IF('Ankieta#1_13.04.26'!F233="","",'Ankieta#1_13.04.26'!F233)</f>
        <v>Nowak</v>
      </c>
      <c r="B234" s="4" t="str">
        <f>IF('Ankieta#1_13.04.26'!E233="","",'Ankieta#1_13.04.26'!E233)</f>
        <v>Zuzanna</v>
      </c>
      <c r="C234" s="2" t="str">
        <f>IF('Ankieta#1_13.04.26'!G233="","",'Ankieta#1_13.04.26'!G233)</f>
        <v>3E</v>
      </c>
      <c r="D234" s="2" t="str">
        <f>IF('Ankieta#1_13.04.26'!H233="","",'Ankieta#1_13.04.26'!H233)</f>
        <v>Tak</v>
      </c>
      <c r="E234" s="2" t="str">
        <f>IF('Ankieta#1_13.04.26'!I233="","",'Ankieta#1_13.04.26'!I233)</f>
        <v>Tak</v>
      </c>
      <c r="G234" s="4">
        <v>50</v>
      </c>
      <c r="T234" s="4">
        <f t="shared" si="14"/>
        <v>50</v>
      </c>
      <c r="U234" s="36">
        <f>IF(Table2[[#This Row],[Nazwisko]]="","",IF(AND(D234="Nie",E234="Nie"),0,IF(AND(D234="Tak",E234="Nie"),Podsumowanie!$B$19,Podsumowanie!$C$19)))</f>
        <v>700</v>
      </c>
      <c r="V234" s="4">
        <f t="shared" si="11"/>
        <v>-650</v>
      </c>
      <c r="W234" s="55" t="str">
        <f t="shared" si="12"/>
        <v>NOK</v>
      </c>
      <c r="X234" s="4"/>
      <c r="Z234" s="4" t="str">
        <f>Table2[[#This Row],[Nazwisko]]&amp;Table2[[#This Row],[Imię]]</f>
        <v>NowakZuzanna</v>
      </c>
      <c r="AA234" s="2">
        <f>COUNTIF(Z234:$Z$275,Z234)</f>
        <v>1</v>
      </c>
    </row>
    <row r="235" spans="1:27" hidden="1">
      <c r="A235" s="4" t="str">
        <f>IF('Ankieta#1_13.04.26'!F234="","",'Ankieta#1_13.04.26'!F234)</f>
        <v>Domański</v>
      </c>
      <c r="B235" s="4" t="str">
        <f>IF('Ankieta#1_13.04.26'!E234="","",'Ankieta#1_13.04.26'!E234)</f>
        <v>Jan</v>
      </c>
      <c r="C235" s="2" t="str">
        <f>IF('Ankieta#1_13.04.26'!G234="","",'Ankieta#1_13.04.26'!G234)</f>
        <v>3E</v>
      </c>
      <c r="D235" s="2" t="str">
        <f>IF('Ankieta#1_13.04.26'!H234="","",'Ankieta#1_13.04.26'!H234)</f>
        <v>Nie</v>
      </c>
      <c r="E235" s="2" t="str">
        <f>IF('Ankieta#1_13.04.26'!I234="","",'Ankieta#1_13.04.26'!I234)</f>
        <v>Nie</v>
      </c>
      <c r="T235" s="4">
        <f t="shared" si="14"/>
        <v>0</v>
      </c>
      <c r="U235" s="36">
        <f>IF(Table2[[#This Row],[Nazwisko]]="","",IF(AND(D235="Nie",E235="Nie"),0,IF(AND(D235="Tak",E235="Nie"),Podsumowanie!$B$19,Podsumowanie!$C$19)))</f>
        <v>0</v>
      </c>
      <c r="V235" s="4">
        <f t="shared" si="11"/>
        <v>0</v>
      </c>
      <c r="W235" s="55" t="str">
        <f t="shared" si="12"/>
        <v/>
      </c>
      <c r="X235" s="4"/>
      <c r="Z235" s="4" t="str">
        <f>Table2[[#This Row],[Nazwisko]]&amp;Table2[[#This Row],[Imię]]</f>
        <v>DomańskiJan</v>
      </c>
      <c r="AA235" s="2">
        <f>COUNTIF(Z235:$Z$275,Z235)</f>
        <v>1</v>
      </c>
    </row>
    <row r="236" spans="1:27">
      <c r="A236"/>
      <c r="B236"/>
      <c r="C236"/>
      <c r="D236"/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 s="56"/>
      <c r="X236" s="56"/>
    </row>
    <row r="237" spans="1:27">
      <c r="A237"/>
      <c r="B237"/>
      <c r="C237"/>
      <c r="D237"/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 s="56"/>
      <c r="X237" s="56"/>
    </row>
    <row r="238" spans="1:27">
      <c r="A238"/>
      <c r="B238"/>
      <c r="C238"/>
      <c r="D238"/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 s="56"/>
      <c r="X238" s="56"/>
    </row>
    <row r="239" spans="1:27">
      <c r="A239"/>
      <c r="B239"/>
      <c r="C239"/>
      <c r="D239"/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 s="56"/>
      <c r="X239" s="56"/>
    </row>
    <row r="240" spans="1:27">
      <c r="A240"/>
      <c r="B240"/>
      <c r="C240"/>
      <c r="D240"/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 s="56"/>
      <c r="X240" s="56"/>
    </row>
    <row r="241" spans="1:24">
      <c r="A241"/>
      <c r="B241"/>
      <c r="C241"/>
      <c r="D241"/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 s="56"/>
      <c r="X241" s="56"/>
    </row>
    <row r="242" spans="1:24">
      <c r="A242"/>
      <c r="B242"/>
      <c r="C242"/>
      <c r="D242"/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/>
      <c r="W242" s="56"/>
      <c r="X242" s="56"/>
    </row>
    <row r="243" spans="1:24">
      <c r="A243"/>
      <c r="B243"/>
      <c r="C243"/>
      <c r="D243"/>
      <c r="E243"/>
      <c r="F243"/>
      <c r="G243"/>
      <c r="H243"/>
      <c r="I243"/>
      <c r="J243"/>
      <c r="K243"/>
      <c r="L243"/>
      <c r="M243"/>
      <c r="N243"/>
      <c r="O243"/>
      <c r="P243"/>
      <c r="Q243"/>
      <c r="R243"/>
      <c r="S243"/>
      <c r="T243"/>
      <c r="U243"/>
      <c r="V243"/>
      <c r="W243" s="56"/>
      <c r="X243" s="56"/>
    </row>
    <row r="244" spans="1:24">
      <c r="A244"/>
      <c r="B244"/>
      <c r="C244"/>
      <c r="D244"/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/>
      <c r="U244"/>
      <c r="V244"/>
      <c r="W244" s="56"/>
      <c r="X244" s="56"/>
    </row>
    <row r="245" spans="1:24">
      <c r="A245"/>
      <c r="B245"/>
      <c r="C245"/>
      <c r="D245"/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 s="56"/>
      <c r="X245" s="56"/>
    </row>
    <row r="246" spans="1:24">
      <c r="A246"/>
      <c r="B246"/>
      <c r="C246"/>
      <c r="D246"/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 s="56"/>
      <c r="X246" s="56"/>
    </row>
    <row r="247" spans="1:24">
      <c r="A247"/>
      <c r="B247"/>
      <c r="C247"/>
      <c r="D247"/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 s="56"/>
      <c r="X247" s="56"/>
    </row>
    <row r="248" spans="1:24">
      <c r="A248"/>
      <c r="B248"/>
      <c r="C248"/>
      <c r="D248"/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 s="56"/>
      <c r="X248" s="56"/>
    </row>
    <row r="249" spans="1:24">
      <c r="A249"/>
      <c r="B249"/>
      <c r="C249"/>
      <c r="D249"/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 s="56"/>
      <c r="X249" s="56"/>
    </row>
    <row r="250" spans="1:24">
      <c r="A250"/>
      <c r="B250"/>
      <c r="C250"/>
      <c r="D250"/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 s="56"/>
      <c r="X250" s="56"/>
    </row>
    <row r="251" spans="1:24">
      <c r="A251"/>
      <c r="B251"/>
      <c r="C251"/>
      <c r="D251"/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 s="56"/>
      <c r="X251" s="56"/>
    </row>
    <row r="252" spans="1:24">
      <c r="A252"/>
      <c r="B252"/>
      <c r="C252"/>
      <c r="D252"/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 s="56"/>
      <c r="X252" s="56"/>
    </row>
    <row r="253" spans="1:24">
      <c r="A253"/>
      <c r="B253"/>
      <c r="C253"/>
      <c r="D253"/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 s="56"/>
      <c r="X253" s="56"/>
    </row>
    <row r="254" spans="1:24">
      <c r="A254"/>
      <c r="B254"/>
      <c r="C254"/>
      <c r="D254"/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 s="56"/>
      <c r="X254" s="56"/>
    </row>
    <row r="255" spans="1:24">
      <c r="A255"/>
      <c r="B255"/>
      <c r="C255"/>
      <c r="D255"/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 s="56"/>
      <c r="X255" s="56"/>
    </row>
    <row r="256" spans="1:24">
      <c r="A256"/>
      <c r="B256"/>
      <c r="C256"/>
      <c r="D256"/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 s="56"/>
      <c r="X256" s="56"/>
    </row>
    <row r="257" spans="1:24">
      <c r="A257"/>
      <c r="B257"/>
      <c r="C257"/>
      <c r="D257"/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 s="56"/>
      <c r="X257" s="56"/>
    </row>
    <row r="258" spans="1:24">
      <c r="A258"/>
      <c r="B258"/>
      <c r="C258"/>
      <c r="D258"/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 s="56"/>
      <c r="X258" s="56"/>
    </row>
    <row r="259" spans="1:24">
      <c r="A259"/>
      <c r="B259"/>
      <c r="C259"/>
      <c r="D259"/>
      <c r="E259"/>
      <c r="F259"/>
      <c r="G259"/>
      <c r="H259"/>
      <c r="I259"/>
      <c r="J259"/>
      <c r="K259"/>
      <c r="L259"/>
      <c r="M259"/>
      <c r="N259"/>
      <c r="O259"/>
      <c r="P259"/>
      <c r="Q259"/>
      <c r="R259"/>
      <c r="S259"/>
      <c r="T259"/>
      <c r="U259"/>
      <c r="V259"/>
      <c r="W259" s="56"/>
      <c r="X259" s="56"/>
    </row>
    <row r="260" spans="1:24">
      <c r="A260"/>
      <c r="B260"/>
      <c r="C260"/>
      <c r="D260"/>
      <c r="E260"/>
      <c r="F260"/>
      <c r="G260"/>
      <c r="H260"/>
      <c r="I260"/>
      <c r="J260"/>
      <c r="K260"/>
      <c r="L260"/>
      <c r="M260"/>
      <c r="N260"/>
      <c r="O260"/>
      <c r="P260"/>
      <c r="Q260"/>
      <c r="R260"/>
      <c r="S260"/>
      <c r="T260"/>
      <c r="U260"/>
      <c r="V260"/>
      <c r="W260" s="56"/>
      <c r="X260" s="56"/>
    </row>
    <row r="261" spans="1:24">
      <c r="A261"/>
      <c r="B261"/>
      <c r="C261"/>
      <c r="D261"/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 s="56"/>
      <c r="X261" s="56"/>
    </row>
    <row r="262" spans="1:24">
      <c r="A262"/>
      <c r="B262"/>
      <c r="C262"/>
      <c r="D262"/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 s="56"/>
      <c r="X262" s="56"/>
    </row>
    <row r="263" spans="1:24">
      <c r="A263"/>
      <c r="B263"/>
      <c r="C263"/>
      <c r="D263"/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 s="56"/>
      <c r="X263" s="56"/>
    </row>
    <row r="264" spans="1:24">
      <c r="A264"/>
      <c r="B264"/>
      <c r="C264"/>
      <c r="D264"/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/>
      <c r="W264" s="56"/>
      <c r="X264" s="56"/>
    </row>
    <row r="265" spans="1:24">
      <c r="A265"/>
      <c r="B265"/>
      <c r="C265"/>
      <c r="D265"/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 s="56"/>
      <c r="X265" s="56"/>
    </row>
    <row r="266" spans="1:24">
      <c r="A266"/>
      <c r="B266"/>
      <c r="C266"/>
      <c r="D266"/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 s="56"/>
      <c r="X266" s="56"/>
    </row>
    <row r="267" spans="1:24">
      <c r="A267"/>
      <c r="B267"/>
      <c r="C267"/>
      <c r="D267"/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 s="56"/>
      <c r="X267" s="56"/>
    </row>
    <row r="268" spans="1:24">
      <c r="A268"/>
      <c r="B268"/>
      <c r="C268"/>
      <c r="D268"/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 s="56"/>
      <c r="X268" s="56"/>
    </row>
    <row r="269" spans="1:24">
      <c r="A269"/>
      <c r="B269"/>
      <c r="C269"/>
      <c r="D269"/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 s="56"/>
      <c r="X269" s="56"/>
    </row>
    <row r="270" spans="1:24">
      <c r="A270"/>
      <c r="B270"/>
      <c r="C270"/>
      <c r="D270"/>
      <c r="E270"/>
      <c r="F270"/>
      <c r="G270"/>
      <c r="H270"/>
      <c r="I270"/>
      <c r="J270"/>
      <c r="K270"/>
      <c r="L270"/>
      <c r="M270"/>
      <c r="N270"/>
      <c r="O270"/>
      <c r="P270"/>
      <c r="Q270"/>
      <c r="R270"/>
      <c r="S270"/>
      <c r="T270"/>
      <c r="U270"/>
      <c r="V270"/>
      <c r="W270" s="56"/>
      <c r="X270" s="56"/>
    </row>
    <row r="271" spans="1:24">
      <c r="A271"/>
      <c r="B271"/>
      <c r="C271"/>
      <c r="D271"/>
      <c r="E271"/>
      <c r="F271"/>
      <c r="G271"/>
      <c r="H271"/>
      <c r="I271"/>
      <c r="J271"/>
      <c r="K271"/>
      <c r="L271"/>
      <c r="M271"/>
      <c r="N271"/>
      <c r="O271"/>
      <c r="P271"/>
      <c r="Q271"/>
      <c r="R271"/>
      <c r="S271"/>
      <c r="T271"/>
      <c r="U271"/>
      <c r="V271"/>
      <c r="W271" s="56"/>
      <c r="X271" s="56"/>
    </row>
    <row r="272" spans="1:24">
      <c r="A272"/>
      <c r="B272"/>
      <c r="C272"/>
      <c r="D272"/>
      <c r="E272"/>
      <c r="F272"/>
      <c r="G272"/>
      <c r="H272"/>
      <c r="I272"/>
      <c r="J272"/>
      <c r="K272"/>
      <c r="L272"/>
      <c r="M272"/>
      <c r="N272"/>
      <c r="O272"/>
      <c r="P272"/>
      <c r="Q272"/>
      <c r="R272"/>
      <c r="S272"/>
      <c r="T272"/>
      <c r="U272"/>
      <c r="V272"/>
      <c r="W272" s="56"/>
      <c r="X272" s="56"/>
    </row>
    <row r="273" spans="1:24">
      <c r="A273"/>
      <c r="B273"/>
      <c r="C273"/>
      <c r="D273"/>
      <c r="E273"/>
      <c r="F273"/>
      <c r="G273"/>
      <c r="H273"/>
      <c r="I273"/>
      <c r="J273"/>
      <c r="K273"/>
      <c r="L273"/>
      <c r="M273"/>
      <c r="N273"/>
      <c r="O273"/>
      <c r="P273"/>
      <c r="Q273"/>
      <c r="R273"/>
      <c r="S273"/>
      <c r="T273"/>
      <c r="U273"/>
      <c r="V273"/>
      <c r="W273" s="56"/>
      <c r="X273" s="56"/>
    </row>
    <row r="274" spans="1:24">
      <c r="A274"/>
      <c r="B274"/>
      <c r="C274"/>
      <c r="D274"/>
      <c r="E274"/>
      <c r="F274"/>
      <c r="G274"/>
      <c r="H274"/>
      <c r="I274"/>
      <c r="J274"/>
      <c r="K274"/>
      <c r="L274"/>
      <c r="M274"/>
      <c r="N274"/>
      <c r="O274"/>
      <c r="P274"/>
      <c r="Q274"/>
      <c r="R274"/>
      <c r="S274"/>
      <c r="T274"/>
      <c r="U274"/>
      <c r="V274"/>
      <c r="W274" s="56"/>
      <c r="X274" s="56"/>
    </row>
    <row r="275" spans="1:24">
      <c r="A275"/>
      <c r="B275"/>
      <c r="C275"/>
      <c r="D275"/>
      <c r="E275"/>
      <c r="F275"/>
      <c r="G275"/>
      <c r="H275"/>
      <c r="I275"/>
      <c r="J275"/>
      <c r="K275"/>
      <c r="L275"/>
      <c r="M275"/>
      <c r="N275"/>
      <c r="O275"/>
      <c r="P275"/>
      <c r="Q275"/>
      <c r="R275"/>
      <c r="S275"/>
      <c r="T275"/>
      <c r="U275"/>
      <c r="V275"/>
      <c r="W275" s="56"/>
      <c r="X275" s="56"/>
    </row>
    <row r="276" spans="1:24">
      <c r="A276"/>
      <c r="B276"/>
      <c r="C276"/>
      <c r="D276"/>
      <c r="E276"/>
      <c r="F276"/>
      <c r="G276"/>
      <c r="H276"/>
      <c r="I276"/>
      <c r="J276"/>
      <c r="K276"/>
      <c r="L276"/>
      <c r="M276"/>
      <c r="N276"/>
      <c r="O276"/>
      <c r="P276"/>
      <c r="Q276"/>
      <c r="R276"/>
      <c r="S276"/>
      <c r="T276"/>
      <c r="U276"/>
      <c r="V276"/>
      <c r="W276" s="56"/>
      <c r="X276" s="56"/>
    </row>
    <row r="277" spans="1:24">
      <c r="A277"/>
      <c r="B277"/>
      <c r="C277"/>
      <c r="D277"/>
      <c r="E277"/>
      <c r="F277"/>
      <c r="G277"/>
      <c r="H277"/>
      <c r="I277"/>
      <c r="J277"/>
      <c r="K277"/>
      <c r="L277"/>
      <c r="M277"/>
      <c r="N277"/>
      <c r="O277"/>
      <c r="P277"/>
      <c r="Q277"/>
      <c r="R277"/>
      <c r="S277"/>
      <c r="T277"/>
      <c r="U277"/>
      <c r="V277"/>
      <c r="W277" s="56"/>
      <c r="X277" s="56"/>
    </row>
    <row r="278" spans="1:24">
      <c r="A278"/>
      <c r="B278"/>
      <c r="C278"/>
      <c r="D278"/>
      <c r="E278"/>
      <c r="F278"/>
      <c r="G278"/>
      <c r="H278"/>
      <c r="I278"/>
      <c r="J278"/>
      <c r="K278"/>
      <c r="L278"/>
      <c r="M278"/>
      <c r="N278"/>
      <c r="O278"/>
      <c r="P278"/>
      <c r="Q278"/>
      <c r="R278"/>
      <c r="S278"/>
      <c r="T278"/>
      <c r="U278"/>
      <c r="V278"/>
      <c r="W278" s="56"/>
      <c r="X278" s="56"/>
    </row>
    <row r="279" spans="1:24">
      <c r="A279"/>
      <c r="B279"/>
      <c r="C279"/>
      <c r="D279"/>
      <c r="E279"/>
      <c r="F279"/>
      <c r="G279"/>
      <c r="H279"/>
      <c r="I279"/>
      <c r="J279"/>
      <c r="K279"/>
      <c r="L279"/>
      <c r="M279"/>
      <c r="N279"/>
      <c r="O279"/>
      <c r="P279"/>
      <c r="Q279"/>
      <c r="R279"/>
      <c r="S279"/>
      <c r="T279"/>
      <c r="U279"/>
      <c r="V279"/>
      <c r="W279" s="56"/>
      <c r="X279" s="56"/>
    </row>
    <row r="280" spans="1:24">
      <c r="A280"/>
      <c r="B280"/>
      <c r="C280"/>
      <c r="D280"/>
      <c r="E280"/>
      <c r="F280"/>
      <c r="G280"/>
      <c r="H280"/>
      <c r="I280"/>
      <c r="J280"/>
      <c r="K280"/>
      <c r="L280"/>
      <c r="M280"/>
      <c r="N280"/>
      <c r="O280"/>
      <c r="P280"/>
      <c r="Q280"/>
      <c r="R280"/>
      <c r="S280"/>
      <c r="T280"/>
      <c r="U280"/>
      <c r="V280"/>
      <c r="W280" s="56"/>
      <c r="X280" s="56"/>
    </row>
    <row r="281" spans="1:24">
      <c r="A281"/>
      <c r="B281"/>
      <c r="C281"/>
      <c r="D281"/>
      <c r="E281"/>
      <c r="F281"/>
      <c r="G281"/>
      <c r="H281"/>
      <c r="I281"/>
      <c r="J281"/>
      <c r="K281"/>
      <c r="L281"/>
      <c r="M281"/>
      <c r="N281"/>
      <c r="O281"/>
      <c r="P281"/>
      <c r="Q281"/>
      <c r="R281"/>
      <c r="S281"/>
      <c r="T281"/>
      <c r="U281"/>
      <c r="V281"/>
      <c r="W281" s="56"/>
      <c r="X281" s="56"/>
    </row>
    <row r="282" spans="1:24">
      <c r="A282"/>
      <c r="B282"/>
      <c r="C282"/>
      <c r="D282"/>
      <c r="E282"/>
      <c r="F282"/>
      <c r="G282"/>
      <c r="H282"/>
      <c r="I282"/>
      <c r="J282"/>
      <c r="K282"/>
      <c r="L282"/>
      <c r="M282"/>
      <c r="N282"/>
      <c r="O282"/>
      <c r="P282"/>
      <c r="Q282"/>
      <c r="R282"/>
      <c r="S282"/>
      <c r="T282"/>
      <c r="U282"/>
      <c r="V282"/>
      <c r="W282" s="56"/>
      <c r="X282" s="56"/>
    </row>
    <row r="283" spans="1:24">
      <c r="A283"/>
      <c r="B283"/>
      <c r="C283"/>
      <c r="D283"/>
      <c r="E283"/>
      <c r="F283"/>
      <c r="G283"/>
      <c r="H283"/>
      <c r="I283"/>
      <c r="J283"/>
      <c r="K283"/>
      <c r="L283"/>
      <c r="M283"/>
      <c r="N283"/>
      <c r="O283"/>
      <c r="P283"/>
      <c r="Q283"/>
      <c r="R283"/>
      <c r="S283"/>
      <c r="T283"/>
      <c r="U283"/>
      <c r="V283"/>
      <c r="W283" s="56"/>
      <c r="X283" s="56"/>
    </row>
    <row r="284" spans="1:24">
      <c r="A284"/>
      <c r="B284"/>
      <c r="C284"/>
      <c r="D284"/>
      <c r="E284"/>
      <c r="F284"/>
      <c r="G284"/>
      <c r="H284"/>
      <c r="I284"/>
      <c r="J284"/>
      <c r="K284"/>
      <c r="L284"/>
      <c r="M284"/>
      <c r="N284"/>
      <c r="O284"/>
      <c r="P284"/>
      <c r="Q284"/>
      <c r="R284"/>
      <c r="S284"/>
      <c r="T284"/>
      <c r="U284"/>
      <c r="V284"/>
      <c r="W284" s="56"/>
      <c r="X284" s="56"/>
    </row>
    <row r="285" spans="1:24">
      <c r="A285"/>
      <c r="B285"/>
      <c r="C285"/>
      <c r="D285"/>
      <c r="E285"/>
      <c r="F285"/>
      <c r="G285"/>
      <c r="H285"/>
      <c r="I285"/>
      <c r="J285"/>
      <c r="K285"/>
      <c r="L285"/>
      <c r="M285"/>
      <c r="N285"/>
      <c r="O285"/>
      <c r="P285"/>
      <c r="Q285"/>
      <c r="R285"/>
      <c r="S285"/>
      <c r="T285"/>
      <c r="U285"/>
      <c r="V285"/>
      <c r="W285" s="56"/>
      <c r="X285" s="56"/>
    </row>
    <row r="286" spans="1:24">
      <c r="A286"/>
      <c r="B286"/>
      <c r="C286"/>
      <c r="D286"/>
      <c r="E286"/>
      <c r="F286"/>
      <c r="G286"/>
      <c r="H286"/>
      <c r="I286"/>
      <c r="J286"/>
      <c r="K286"/>
      <c r="L286"/>
      <c r="M286"/>
      <c r="N286"/>
      <c r="O286"/>
      <c r="P286"/>
      <c r="Q286"/>
      <c r="R286"/>
      <c r="S286"/>
      <c r="T286"/>
      <c r="U286"/>
      <c r="V286"/>
      <c r="W286" s="56"/>
      <c r="X286" s="56"/>
    </row>
    <row r="287" spans="1:24">
      <c r="A287"/>
      <c r="B287"/>
      <c r="C287"/>
      <c r="D287"/>
      <c r="E287"/>
      <c r="F287"/>
      <c r="G287"/>
      <c r="H287"/>
      <c r="I287"/>
      <c r="J287"/>
      <c r="K287"/>
      <c r="L287"/>
      <c r="M287"/>
      <c r="N287"/>
      <c r="O287"/>
      <c r="P287"/>
      <c r="Q287"/>
      <c r="R287"/>
      <c r="S287"/>
      <c r="T287"/>
      <c r="U287"/>
      <c r="V287"/>
      <c r="W287" s="56"/>
      <c r="X287" s="56"/>
    </row>
    <row r="288" spans="1:24">
      <c r="A288"/>
      <c r="B288"/>
      <c r="C288"/>
      <c r="D288"/>
      <c r="E288"/>
      <c r="F288"/>
      <c r="G288"/>
      <c r="H288"/>
      <c r="I288"/>
      <c r="J288"/>
      <c r="K288"/>
      <c r="L288"/>
      <c r="M288"/>
      <c r="N288"/>
      <c r="O288"/>
      <c r="P288"/>
      <c r="Q288"/>
      <c r="R288"/>
      <c r="S288"/>
      <c r="T288"/>
      <c r="U288"/>
      <c r="V288"/>
      <c r="W288" s="56"/>
      <c r="X288" s="56"/>
    </row>
    <row r="289" spans="1:24">
      <c r="A289"/>
      <c r="B289"/>
      <c r="C289"/>
      <c r="D289"/>
      <c r="E289"/>
      <c r="F289"/>
      <c r="G289"/>
      <c r="H289"/>
      <c r="I289"/>
      <c r="J289"/>
      <c r="K289"/>
      <c r="L289"/>
      <c r="M289"/>
      <c r="N289"/>
      <c r="O289"/>
      <c r="P289"/>
      <c r="Q289"/>
      <c r="R289"/>
      <c r="S289"/>
      <c r="T289"/>
      <c r="U289"/>
      <c r="V289"/>
      <c r="W289" s="56"/>
      <c r="X289" s="56"/>
    </row>
    <row r="290" spans="1:24">
      <c r="A290"/>
      <c r="B290"/>
      <c r="C290"/>
      <c r="D290"/>
      <c r="E290"/>
      <c r="F290"/>
      <c r="G290"/>
      <c r="H290"/>
      <c r="I290"/>
      <c r="J290"/>
      <c r="K290"/>
      <c r="L290"/>
      <c r="M290"/>
      <c r="N290"/>
      <c r="O290"/>
      <c r="P290"/>
      <c r="Q290"/>
      <c r="R290"/>
      <c r="S290"/>
      <c r="T290"/>
      <c r="U290"/>
      <c r="V290"/>
      <c r="W290" s="56"/>
      <c r="X290" s="56"/>
    </row>
    <row r="291" spans="1:24">
      <c r="A291"/>
      <c r="B291"/>
      <c r="C291"/>
      <c r="D291"/>
      <c r="E291"/>
      <c r="F291"/>
      <c r="G291"/>
      <c r="H291"/>
      <c r="I291"/>
      <c r="J291"/>
      <c r="K291"/>
      <c r="L291"/>
      <c r="M291"/>
      <c r="N291"/>
      <c r="O291"/>
      <c r="P291"/>
      <c r="Q291"/>
      <c r="R291"/>
      <c r="S291"/>
      <c r="T291"/>
      <c r="U291"/>
      <c r="V291"/>
      <c r="W291" s="56"/>
      <c r="X291" s="56"/>
    </row>
    <row r="292" spans="1:24">
      <c r="A292"/>
      <c r="B292"/>
      <c r="C292"/>
      <c r="D292"/>
      <c r="E292"/>
      <c r="F292"/>
      <c r="G292"/>
      <c r="H292"/>
      <c r="I292"/>
      <c r="J292"/>
      <c r="K292"/>
      <c r="L292"/>
      <c r="M292"/>
      <c r="N292"/>
      <c r="O292"/>
      <c r="P292"/>
      <c r="Q292"/>
      <c r="R292"/>
      <c r="S292"/>
      <c r="T292"/>
      <c r="U292"/>
      <c r="V292"/>
      <c r="W292" s="56"/>
      <c r="X292" s="56"/>
    </row>
    <row r="293" spans="1:24">
      <c r="A293"/>
      <c r="B293"/>
      <c r="C293"/>
      <c r="D293"/>
      <c r="E293"/>
      <c r="F293"/>
      <c r="G293"/>
      <c r="H293"/>
      <c r="I293"/>
      <c r="J293"/>
      <c r="K293"/>
      <c r="L293"/>
      <c r="M293"/>
      <c r="N293"/>
      <c r="O293"/>
      <c r="P293"/>
      <c r="Q293"/>
      <c r="R293"/>
      <c r="S293"/>
      <c r="T293"/>
      <c r="U293"/>
      <c r="V293"/>
      <c r="W293" s="56"/>
      <c r="X293" s="56"/>
    </row>
    <row r="294" spans="1:24">
      <c r="A294"/>
      <c r="B294"/>
      <c r="C294"/>
      <c r="D294"/>
      <c r="E294"/>
      <c r="F294"/>
      <c r="G294"/>
      <c r="H294"/>
      <c r="I294"/>
      <c r="J294"/>
      <c r="K294"/>
      <c r="L294"/>
      <c r="M294"/>
      <c r="N294"/>
      <c r="O294"/>
      <c r="P294"/>
      <c r="Q294"/>
      <c r="R294"/>
      <c r="S294"/>
      <c r="T294"/>
      <c r="U294"/>
      <c r="V294"/>
      <c r="W294" s="56"/>
      <c r="X294" s="56"/>
    </row>
    <row r="295" spans="1:24">
      <c r="A295"/>
      <c r="B295"/>
      <c r="C295"/>
      <c r="D295"/>
      <c r="E295"/>
      <c r="F295"/>
      <c r="G295"/>
      <c r="H295"/>
      <c r="I295"/>
      <c r="J295"/>
      <c r="K295"/>
      <c r="L295"/>
      <c r="M295"/>
      <c r="N295"/>
      <c r="O295"/>
      <c r="P295"/>
      <c r="Q295"/>
      <c r="R295"/>
      <c r="S295"/>
      <c r="T295"/>
      <c r="U295"/>
      <c r="V295"/>
      <c r="W295" s="56"/>
      <c r="X295" s="56"/>
    </row>
    <row r="296" spans="1:24">
      <c r="A296"/>
      <c r="B296"/>
      <c r="C296"/>
      <c r="D296"/>
      <c r="E296"/>
      <c r="F296"/>
      <c r="G296"/>
      <c r="H296"/>
      <c r="I296"/>
      <c r="J296"/>
      <c r="K296"/>
      <c r="L296"/>
      <c r="M296"/>
      <c r="N296"/>
      <c r="O296"/>
      <c r="P296"/>
      <c r="Q296"/>
      <c r="R296"/>
      <c r="S296"/>
      <c r="T296"/>
      <c r="U296"/>
      <c r="V296"/>
      <c r="W296" s="56"/>
      <c r="X296" s="56"/>
    </row>
    <row r="297" spans="1:24">
      <c r="A297"/>
      <c r="B297"/>
      <c r="C297"/>
      <c r="D297"/>
      <c r="E297"/>
      <c r="F297"/>
      <c r="G297"/>
      <c r="H297"/>
      <c r="I297"/>
      <c r="J297"/>
      <c r="K297"/>
      <c r="L297"/>
      <c r="M297"/>
      <c r="N297"/>
      <c r="O297"/>
      <c r="P297"/>
      <c r="Q297"/>
      <c r="R297"/>
      <c r="S297"/>
      <c r="T297"/>
      <c r="U297"/>
      <c r="V297"/>
      <c r="W297" s="56"/>
      <c r="X297" s="56"/>
    </row>
    <row r="298" spans="1:24">
      <c r="A298"/>
      <c r="B298"/>
      <c r="C298"/>
      <c r="D298"/>
      <c r="E298"/>
      <c r="F298"/>
      <c r="G298"/>
      <c r="H298"/>
      <c r="I298"/>
      <c r="J298"/>
      <c r="K298"/>
      <c r="L298"/>
      <c r="M298"/>
      <c r="N298"/>
      <c r="O298"/>
      <c r="P298"/>
      <c r="Q298"/>
      <c r="R298"/>
      <c r="S298"/>
      <c r="T298"/>
      <c r="U298"/>
      <c r="V298"/>
      <c r="W298" s="56"/>
      <c r="X298" s="56"/>
    </row>
    <row r="299" spans="1:24">
      <c r="A299"/>
      <c r="B299"/>
      <c r="C299"/>
      <c r="D299"/>
      <c r="E299"/>
      <c r="F299"/>
      <c r="G299"/>
      <c r="H299"/>
      <c r="I299"/>
      <c r="J299"/>
      <c r="K299"/>
      <c r="L299"/>
      <c r="M299"/>
      <c r="N299"/>
      <c r="O299"/>
      <c r="P299"/>
      <c r="Q299"/>
      <c r="R299"/>
      <c r="S299"/>
      <c r="T299"/>
      <c r="U299"/>
      <c r="V299"/>
      <c r="W299" s="56"/>
      <c r="X299" s="56"/>
    </row>
    <row r="300" spans="1:24">
      <c r="A300"/>
      <c r="B300"/>
      <c r="C300"/>
      <c r="D300"/>
      <c r="E300"/>
      <c r="F300"/>
      <c r="G300"/>
      <c r="H300"/>
      <c r="I300"/>
      <c r="J300"/>
      <c r="K300"/>
      <c r="L300"/>
      <c r="M300"/>
      <c r="N300"/>
      <c r="O300"/>
      <c r="P300"/>
      <c r="Q300"/>
      <c r="R300"/>
      <c r="S300"/>
      <c r="T300"/>
      <c r="U300"/>
      <c r="V300"/>
      <c r="W300" s="56"/>
      <c r="X300" s="56"/>
    </row>
    <row r="301" spans="1:24">
      <c r="A301"/>
      <c r="B301"/>
      <c r="C301"/>
      <c r="D301"/>
      <c r="E301"/>
      <c r="F301"/>
      <c r="G301"/>
      <c r="H301"/>
      <c r="I301"/>
      <c r="J301"/>
      <c r="K301"/>
      <c r="L301"/>
      <c r="M301"/>
      <c r="N301"/>
      <c r="O301"/>
      <c r="P301"/>
      <c r="Q301"/>
      <c r="R301"/>
      <c r="S301"/>
      <c r="T301"/>
      <c r="U301"/>
      <c r="V301"/>
      <c r="W301" s="56"/>
      <c r="X301" s="56"/>
    </row>
    <row r="302" spans="1:24">
      <c r="A302"/>
      <c r="B302"/>
      <c r="C302"/>
      <c r="D302"/>
      <c r="E302"/>
      <c r="F302"/>
      <c r="G302"/>
      <c r="H302"/>
      <c r="I302"/>
      <c r="J302"/>
      <c r="K302"/>
      <c r="L302"/>
      <c r="M302"/>
      <c r="N302"/>
      <c r="O302"/>
      <c r="P302"/>
      <c r="Q302"/>
      <c r="R302"/>
      <c r="S302"/>
      <c r="T302"/>
      <c r="U302"/>
      <c r="V302"/>
      <c r="W302" s="56"/>
      <c r="X302" s="56"/>
    </row>
    <row r="303" spans="1:24">
      <c r="A303"/>
      <c r="B303"/>
      <c r="C303"/>
      <c r="D303"/>
      <c r="E303"/>
      <c r="F303"/>
      <c r="G303"/>
      <c r="H303"/>
      <c r="I303"/>
      <c r="J303"/>
      <c r="K303"/>
      <c r="L303"/>
      <c r="M303"/>
      <c r="N303"/>
      <c r="O303"/>
      <c r="P303"/>
      <c r="Q303"/>
      <c r="R303"/>
      <c r="S303"/>
      <c r="T303"/>
      <c r="U303"/>
      <c r="V303"/>
      <c r="W303" s="56"/>
      <c r="X303" s="56"/>
    </row>
    <row r="304" spans="1:24">
      <c r="A304"/>
      <c r="B304"/>
      <c r="C304"/>
      <c r="D304"/>
      <c r="E304"/>
      <c r="F304"/>
      <c r="G304"/>
      <c r="H304"/>
      <c r="I304"/>
      <c r="J304"/>
      <c r="K304"/>
      <c r="L304"/>
      <c r="M304"/>
      <c r="N304"/>
      <c r="O304"/>
      <c r="P304"/>
      <c r="Q304"/>
      <c r="R304"/>
      <c r="S304"/>
      <c r="T304"/>
      <c r="U304"/>
      <c r="V304"/>
      <c r="W304" s="56"/>
      <c r="X304" s="56"/>
    </row>
    <row r="305" spans="1:24">
      <c r="A305"/>
      <c r="B305"/>
      <c r="C305"/>
      <c r="D305"/>
      <c r="E305"/>
      <c r="F305"/>
      <c r="G305"/>
      <c r="H305"/>
      <c r="I305"/>
      <c r="J305"/>
      <c r="K305"/>
      <c r="L305"/>
      <c r="M305"/>
      <c r="N305"/>
      <c r="O305"/>
      <c r="P305"/>
      <c r="Q305"/>
      <c r="R305"/>
      <c r="S305"/>
      <c r="T305"/>
      <c r="U305"/>
      <c r="V305"/>
      <c r="W305" s="56"/>
      <c r="X305" s="56"/>
    </row>
    <row r="306" spans="1:24">
      <c r="A306"/>
      <c r="B306"/>
      <c r="C306"/>
      <c r="D306"/>
      <c r="E306"/>
      <c r="F306"/>
      <c r="G306"/>
      <c r="H306"/>
      <c r="I306"/>
      <c r="J306"/>
      <c r="K306"/>
      <c r="L306"/>
      <c r="M306"/>
      <c r="N306"/>
      <c r="O306"/>
      <c r="P306"/>
      <c r="Q306"/>
      <c r="R306"/>
      <c r="S306"/>
      <c r="T306"/>
      <c r="U306"/>
      <c r="V306"/>
      <c r="W306" s="56"/>
      <c r="X306" s="56"/>
    </row>
    <row r="307" spans="1:24">
      <c r="A307"/>
      <c r="B307"/>
      <c r="C307"/>
      <c r="D307"/>
      <c r="E307"/>
      <c r="F307"/>
      <c r="G307"/>
      <c r="H307"/>
      <c r="I307"/>
      <c r="J307"/>
      <c r="K307"/>
      <c r="L307"/>
      <c r="M307"/>
      <c r="N307"/>
      <c r="O307"/>
      <c r="P307"/>
      <c r="Q307"/>
      <c r="R307"/>
      <c r="S307"/>
      <c r="T307"/>
      <c r="U307"/>
      <c r="V307"/>
      <c r="W307" s="56"/>
      <c r="X307" s="56"/>
    </row>
    <row r="308" spans="1:24">
      <c r="A308"/>
      <c r="B308"/>
      <c r="C308"/>
      <c r="D308"/>
      <c r="E308"/>
      <c r="F308"/>
      <c r="G308"/>
      <c r="H308"/>
      <c r="I308"/>
      <c r="J308"/>
      <c r="K308"/>
      <c r="L308"/>
      <c r="M308"/>
      <c r="N308"/>
      <c r="O308"/>
      <c r="P308"/>
      <c r="Q308"/>
      <c r="R308"/>
      <c r="S308"/>
      <c r="T308"/>
      <c r="U308"/>
      <c r="V308"/>
      <c r="W308" s="56"/>
      <c r="X308" s="56"/>
    </row>
    <row r="309" spans="1:24">
      <c r="A309"/>
      <c r="B309"/>
      <c r="C309"/>
      <c r="D309"/>
      <c r="E309"/>
      <c r="F309"/>
      <c r="G309"/>
      <c r="H309"/>
      <c r="I309"/>
      <c r="J309"/>
      <c r="K309"/>
      <c r="L309"/>
      <c r="M309"/>
      <c r="N309"/>
      <c r="O309"/>
      <c r="P309"/>
      <c r="Q309"/>
      <c r="R309"/>
      <c r="S309"/>
      <c r="T309"/>
      <c r="U309"/>
      <c r="V309"/>
      <c r="W309" s="56"/>
      <c r="X309" s="56"/>
    </row>
    <row r="310" spans="1:24">
      <c r="A310"/>
      <c r="B310"/>
      <c r="C310"/>
      <c r="D310"/>
      <c r="E310"/>
      <c r="F310"/>
      <c r="G310"/>
      <c r="H310"/>
      <c r="I310"/>
      <c r="J310"/>
      <c r="K310"/>
      <c r="L310"/>
      <c r="M310"/>
      <c r="N310"/>
      <c r="O310"/>
      <c r="P310"/>
      <c r="Q310"/>
      <c r="R310"/>
      <c r="S310"/>
      <c r="T310"/>
      <c r="U310"/>
      <c r="V310"/>
      <c r="W310" s="56"/>
      <c r="X310" s="56"/>
    </row>
    <row r="311" spans="1:24">
      <c r="A311"/>
      <c r="B311"/>
      <c r="C311"/>
      <c r="D311"/>
      <c r="E311"/>
      <c r="F311"/>
      <c r="G311"/>
      <c r="H311"/>
      <c r="I311"/>
      <c r="J311"/>
      <c r="K311"/>
      <c r="L311"/>
      <c r="M311"/>
      <c r="N311"/>
      <c r="O311"/>
      <c r="P311"/>
      <c r="Q311"/>
      <c r="R311"/>
      <c r="S311"/>
      <c r="T311"/>
      <c r="U311"/>
      <c r="V311"/>
      <c r="W311" s="56"/>
      <c r="X311" s="56"/>
    </row>
    <row r="312" spans="1:24">
      <c r="A312"/>
      <c r="B312"/>
      <c r="C312"/>
      <c r="D312"/>
      <c r="E312"/>
      <c r="F312"/>
      <c r="G312"/>
      <c r="H312"/>
      <c r="I312"/>
      <c r="J312"/>
      <c r="K312"/>
      <c r="L312"/>
      <c r="M312"/>
      <c r="N312"/>
      <c r="O312"/>
      <c r="P312"/>
      <c r="Q312"/>
      <c r="R312"/>
      <c r="S312"/>
      <c r="T312"/>
      <c r="U312"/>
      <c r="V312"/>
      <c r="W312" s="56"/>
      <c r="X312" s="56"/>
    </row>
    <row r="313" spans="1:24">
      <c r="A313"/>
      <c r="B313"/>
      <c r="C313"/>
      <c r="D313"/>
      <c r="E313"/>
      <c r="F313"/>
      <c r="G313"/>
      <c r="H313"/>
      <c r="I313"/>
      <c r="J313"/>
      <c r="K313"/>
      <c r="L313"/>
      <c r="M313"/>
      <c r="N313"/>
      <c r="O313"/>
      <c r="P313"/>
      <c r="Q313"/>
      <c r="R313"/>
      <c r="S313"/>
      <c r="T313"/>
      <c r="U313"/>
      <c r="V313"/>
      <c r="W313" s="56"/>
      <c r="X313" s="56"/>
    </row>
    <row r="314" spans="1:24">
      <c r="A314"/>
      <c r="B314"/>
      <c r="C314"/>
      <c r="D314"/>
      <c r="E314"/>
      <c r="F314"/>
      <c r="G314"/>
      <c r="H314"/>
      <c r="I314"/>
      <c r="J314"/>
      <c r="K314"/>
      <c r="L314"/>
      <c r="M314"/>
      <c r="N314"/>
      <c r="O314"/>
      <c r="P314"/>
      <c r="Q314"/>
      <c r="R314"/>
      <c r="S314"/>
      <c r="T314"/>
      <c r="U314"/>
      <c r="V314"/>
      <c r="W314" s="56"/>
      <c r="X314" s="56"/>
    </row>
    <row r="315" spans="1:24">
      <c r="A315"/>
      <c r="B315"/>
      <c r="C315"/>
      <c r="D315"/>
      <c r="E315"/>
      <c r="F315"/>
      <c r="G315"/>
      <c r="H315"/>
      <c r="I315"/>
      <c r="J315"/>
      <c r="K315"/>
      <c r="L315"/>
      <c r="M315"/>
      <c r="N315"/>
      <c r="O315"/>
      <c r="P315"/>
      <c r="Q315"/>
      <c r="R315"/>
      <c r="S315"/>
      <c r="T315"/>
      <c r="U315"/>
      <c r="V315"/>
      <c r="W315" s="56"/>
      <c r="X315" s="56"/>
    </row>
    <row r="316" spans="1:24">
      <c r="A316"/>
      <c r="B316"/>
      <c r="C316"/>
      <c r="D316"/>
      <c r="E316"/>
      <c r="F316"/>
      <c r="G316"/>
      <c r="H316"/>
      <c r="I316"/>
      <c r="J316"/>
      <c r="K316"/>
      <c r="L316"/>
      <c r="M316"/>
      <c r="N316"/>
      <c r="O316"/>
      <c r="P316"/>
      <c r="Q316"/>
      <c r="R316"/>
      <c r="S316"/>
      <c r="T316"/>
      <c r="U316"/>
      <c r="V316"/>
      <c r="W316" s="56"/>
      <c r="X316" s="56"/>
    </row>
    <row r="317" spans="1:24">
      <c r="A317"/>
      <c r="B317"/>
      <c r="C317"/>
      <c r="D317"/>
      <c r="E317"/>
      <c r="F317"/>
      <c r="G317"/>
      <c r="H317"/>
      <c r="I317"/>
      <c r="J317"/>
      <c r="K317"/>
      <c r="L317"/>
      <c r="M317"/>
      <c r="N317"/>
      <c r="O317"/>
      <c r="P317"/>
      <c r="Q317"/>
      <c r="R317"/>
      <c r="S317"/>
      <c r="T317"/>
      <c r="U317"/>
      <c r="V317"/>
      <c r="W317" s="56"/>
      <c r="X317" s="56"/>
    </row>
    <row r="318" spans="1:24">
      <c r="A318"/>
      <c r="B318"/>
      <c r="C318"/>
      <c r="D318"/>
      <c r="E318"/>
      <c r="F318"/>
      <c r="G318"/>
      <c r="H318"/>
      <c r="I318"/>
      <c r="J318"/>
      <c r="K318"/>
      <c r="L318"/>
      <c r="M318"/>
      <c r="N318"/>
      <c r="O318"/>
      <c r="P318"/>
      <c r="Q318"/>
      <c r="R318"/>
      <c r="S318"/>
      <c r="T318"/>
      <c r="U318"/>
      <c r="V318"/>
      <c r="W318" s="56"/>
      <c r="X318" s="56"/>
    </row>
    <row r="319" spans="1:24">
      <c r="A319"/>
      <c r="B319"/>
      <c r="C319"/>
      <c r="D319"/>
      <c r="E319"/>
      <c r="F319"/>
      <c r="G319"/>
      <c r="H319"/>
      <c r="I319"/>
      <c r="J319"/>
      <c r="K319"/>
      <c r="L319"/>
      <c r="M319"/>
      <c r="N319"/>
      <c r="O319"/>
      <c r="P319"/>
      <c r="Q319"/>
      <c r="R319"/>
      <c r="S319"/>
      <c r="T319"/>
      <c r="U319"/>
      <c r="V319"/>
      <c r="W319" s="56"/>
      <c r="X319" s="56"/>
    </row>
    <row r="320" spans="1:24">
      <c r="A320"/>
      <c r="B320"/>
      <c r="C320"/>
      <c r="D320"/>
      <c r="E320"/>
      <c r="F320"/>
      <c r="G320"/>
      <c r="H320"/>
      <c r="I320"/>
      <c r="J320"/>
      <c r="K320"/>
      <c r="L320"/>
      <c r="M320"/>
      <c r="N320"/>
      <c r="O320"/>
      <c r="P320"/>
      <c r="Q320"/>
      <c r="R320"/>
      <c r="S320"/>
      <c r="T320"/>
      <c r="U320"/>
      <c r="V320"/>
      <c r="W320" s="56"/>
      <c r="X320" s="56"/>
    </row>
    <row r="321" spans="1:24">
      <c r="A321"/>
      <c r="B321"/>
      <c r="C321"/>
      <c r="D321"/>
      <c r="E321"/>
      <c r="F321"/>
      <c r="G321"/>
      <c r="H321"/>
      <c r="I321"/>
      <c r="J321"/>
      <c r="K321"/>
      <c r="L321"/>
      <c r="M321"/>
      <c r="N321"/>
      <c r="O321"/>
      <c r="P321"/>
      <c r="Q321"/>
      <c r="R321"/>
      <c r="S321"/>
      <c r="T321"/>
      <c r="U321"/>
      <c r="V321"/>
      <c r="W321" s="56"/>
      <c r="X321" s="56"/>
    </row>
    <row r="322" spans="1:24">
      <c r="A322"/>
      <c r="B322"/>
      <c r="C322"/>
      <c r="D322"/>
      <c r="E322"/>
      <c r="F322"/>
      <c r="G322"/>
      <c r="H322"/>
      <c r="I322"/>
      <c r="J322"/>
      <c r="K322"/>
      <c r="L322"/>
      <c r="M322"/>
      <c r="N322"/>
      <c r="O322"/>
      <c r="P322"/>
      <c r="Q322"/>
      <c r="R322"/>
      <c r="S322"/>
      <c r="T322"/>
      <c r="U322"/>
      <c r="V322"/>
      <c r="W322" s="56"/>
      <c r="X322" s="56"/>
    </row>
    <row r="323" spans="1:24">
      <c r="A323"/>
      <c r="B323"/>
      <c r="C323"/>
      <c r="D323"/>
      <c r="E323"/>
      <c r="F323"/>
      <c r="G323"/>
      <c r="H323"/>
      <c r="I323"/>
      <c r="J323"/>
      <c r="K323"/>
      <c r="L323"/>
      <c r="M323"/>
      <c r="N323"/>
      <c r="O323"/>
      <c r="P323"/>
      <c r="Q323"/>
      <c r="R323"/>
      <c r="S323"/>
      <c r="T323"/>
      <c r="U323"/>
      <c r="V323"/>
      <c r="W323" s="56"/>
      <c r="X323" s="56"/>
    </row>
    <row r="324" spans="1:24">
      <c r="A324"/>
      <c r="B324"/>
      <c r="C324"/>
      <c r="D324"/>
      <c r="E324"/>
      <c r="F324"/>
      <c r="G324"/>
      <c r="H324"/>
      <c r="I324"/>
      <c r="J324"/>
      <c r="K324"/>
      <c r="L324"/>
      <c r="M324"/>
      <c r="N324"/>
      <c r="O324"/>
      <c r="P324"/>
      <c r="Q324"/>
      <c r="R324"/>
      <c r="S324"/>
      <c r="T324"/>
      <c r="U324"/>
      <c r="V324"/>
      <c r="W324" s="56"/>
      <c r="X324" s="56"/>
    </row>
    <row r="325" spans="1:24">
      <c r="A325"/>
      <c r="B325"/>
      <c r="C325"/>
      <c r="D325"/>
      <c r="E325"/>
      <c r="F325"/>
      <c r="G325"/>
      <c r="H325"/>
      <c r="I325"/>
      <c r="J325"/>
      <c r="K325"/>
      <c r="L325"/>
      <c r="M325"/>
      <c r="N325"/>
      <c r="O325"/>
      <c r="P325"/>
      <c r="Q325"/>
      <c r="R325"/>
      <c r="S325"/>
      <c r="T325"/>
      <c r="U325"/>
      <c r="V325"/>
      <c r="W325" s="56"/>
      <c r="X325" s="56"/>
    </row>
    <row r="326" spans="1:24">
      <c r="A326"/>
      <c r="B326"/>
      <c r="C326"/>
      <c r="D326"/>
      <c r="E326"/>
      <c r="F326"/>
      <c r="G326"/>
      <c r="H326"/>
      <c r="I326"/>
      <c r="J326"/>
      <c r="K326"/>
      <c r="L326"/>
      <c r="M326"/>
      <c r="N326"/>
      <c r="O326"/>
      <c r="P326"/>
      <c r="Q326"/>
      <c r="R326"/>
      <c r="S326"/>
      <c r="T326"/>
      <c r="U326"/>
      <c r="V326"/>
      <c r="W326" s="56"/>
      <c r="X326" s="56"/>
    </row>
    <row r="327" spans="1:24">
      <c r="A327"/>
      <c r="B327"/>
      <c r="C327"/>
      <c r="D327"/>
      <c r="E327"/>
      <c r="F327"/>
      <c r="G327"/>
      <c r="H327"/>
      <c r="I327"/>
      <c r="J327"/>
      <c r="K327"/>
      <c r="L327"/>
      <c r="M327"/>
      <c r="N327"/>
      <c r="O327"/>
      <c r="P327"/>
      <c r="Q327"/>
      <c r="R327"/>
      <c r="S327"/>
      <c r="T327"/>
      <c r="U327"/>
      <c r="V327"/>
      <c r="W327" s="56"/>
      <c r="X327" s="56"/>
    </row>
    <row r="328" spans="1:24">
      <c r="A328"/>
      <c r="B328"/>
      <c r="C328"/>
      <c r="D328"/>
      <c r="E328"/>
      <c r="F328"/>
      <c r="G328"/>
      <c r="H328"/>
      <c r="I328"/>
      <c r="J328"/>
      <c r="K328"/>
      <c r="L328"/>
      <c r="M328"/>
      <c r="N328"/>
      <c r="O328"/>
      <c r="P328"/>
      <c r="Q328"/>
      <c r="R328"/>
      <c r="S328"/>
      <c r="T328"/>
      <c r="U328"/>
      <c r="V328"/>
      <c r="W328" s="56"/>
      <c r="X328" s="56"/>
    </row>
    <row r="329" spans="1:24">
      <c r="A329"/>
      <c r="B329"/>
      <c r="C329"/>
      <c r="D329"/>
      <c r="E329"/>
      <c r="F329"/>
      <c r="G329"/>
      <c r="H329"/>
      <c r="I329"/>
      <c r="J329"/>
      <c r="K329"/>
      <c r="L329"/>
      <c r="M329"/>
      <c r="N329"/>
      <c r="O329"/>
      <c r="P329"/>
      <c r="Q329"/>
      <c r="R329"/>
      <c r="S329"/>
      <c r="T329"/>
      <c r="U329"/>
      <c r="V329"/>
      <c r="W329" s="56"/>
      <c r="X329" s="56"/>
    </row>
    <row r="330" spans="1:24">
      <c r="A330"/>
      <c r="B330"/>
      <c r="C330"/>
      <c r="D330"/>
      <c r="E330"/>
      <c r="F330"/>
      <c r="G330"/>
      <c r="H330"/>
      <c r="I330"/>
      <c r="J330"/>
      <c r="K330"/>
      <c r="L330"/>
      <c r="M330"/>
      <c r="N330"/>
      <c r="O330"/>
      <c r="P330"/>
      <c r="Q330"/>
      <c r="R330"/>
      <c r="S330"/>
      <c r="T330"/>
      <c r="U330"/>
      <c r="V330"/>
      <c r="W330" s="56"/>
      <c r="X330" s="56"/>
    </row>
    <row r="331" spans="1:24">
      <c r="A331"/>
      <c r="B331"/>
      <c r="C331"/>
      <c r="D331"/>
      <c r="E331"/>
      <c r="F331"/>
      <c r="G331"/>
      <c r="H331"/>
      <c r="I331"/>
      <c r="J331"/>
      <c r="K331"/>
      <c r="L331"/>
      <c r="M331"/>
      <c r="N331"/>
      <c r="O331"/>
      <c r="P331"/>
      <c r="Q331"/>
      <c r="R331"/>
      <c r="S331"/>
      <c r="T331"/>
      <c r="U331"/>
      <c r="V331"/>
      <c r="W331" s="56"/>
      <c r="X331" s="56"/>
    </row>
    <row r="332" spans="1:24">
      <c r="A332"/>
      <c r="B332"/>
      <c r="C332"/>
      <c r="D332"/>
      <c r="E332"/>
      <c r="F332"/>
      <c r="G332"/>
      <c r="H332"/>
      <c r="I332"/>
      <c r="J332"/>
      <c r="K332"/>
      <c r="L332"/>
      <c r="M332"/>
      <c r="N332"/>
      <c r="O332"/>
      <c r="P332"/>
      <c r="Q332"/>
      <c r="R332"/>
      <c r="S332"/>
      <c r="T332"/>
      <c r="U332"/>
      <c r="V332"/>
      <c r="W332" s="56"/>
      <c r="X332" s="56"/>
    </row>
    <row r="333" spans="1:24">
      <c r="A333"/>
      <c r="B333"/>
      <c r="C333"/>
      <c r="D333"/>
      <c r="E333"/>
      <c r="F333"/>
      <c r="G333"/>
      <c r="H333"/>
      <c r="I333"/>
      <c r="J333"/>
      <c r="K333"/>
      <c r="L333"/>
      <c r="M333"/>
      <c r="N333"/>
      <c r="O333"/>
      <c r="P333"/>
      <c r="Q333"/>
      <c r="R333"/>
      <c r="S333"/>
      <c r="T333"/>
      <c r="U333"/>
      <c r="V333"/>
      <c r="W333" s="56"/>
      <c r="X333" s="56"/>
    </row>
    <row r="334" spans="1:24">
      <c r="A334"/>
      <c r="B334"/>
      <c r="C334"/>
      <c r="D334"/>
      <c r="E334"/>
      <c r="F334"/>
      <c r="G334"/>
      <c r="H334"/>
      <c r="I334"/>
      <c r="J334"/>
      <c r="K334"/>
      <c r="L334"/>
      <c r="M334"/>
      <c r="N334"/>
      <c r="O334"/>
      <c r="P334"/>
      <c r="Q334"/>
      <c r="R334"/>
      <c r="S334"/>
      <c r="T334"/>
      <c r="U334"/>
      <c r="V334"/>
      <c r="W334" s="56"/>
      <c r="X334" s="56"/>
    </row>
    <row r="335" spans="1:24">
      <c r="A335"/>
      <c r="B335"/>
      <c r="C335"/>
      <c r="D335"/>
      <c r="E335"/>
      <c r="F335"/>
      <c r="G335"/>
      <c r="H335"/>
      <c r="I335"/>
      <c r="J335"/>
      <c r="K335"/>
      <c r="L335"/>
      <c r="M335"/>
      <c r="N335"/>
      <c r="O335"/>
      <c r="P335"/>
      <c r="Q335"/>
      <c r="R335"/>
      <c r="S335"/>
      <c r="T335"/>
      <c r="U335"/>
      <c r="V335"/>
      <c r="W335" s="56"/>
      <c r="X335" s="56"/>
    </row>
    <row r="336" spans="1:24">
      <c r="A336"/>
      <c r="B336"/>
      <c r="C336"/>
      <c r="D336"/>
      <c r="E336"/>
      <c r="F336"/>
      <c r="G336"/>
      <c r="H336"/>
      <c r="I336"/>
      <c r="J336"/>
      <c r="K336"/>
      <c r="L336"/>
      <c r="M336"/>
      <c r="N336"/>
      <c r="O336"/>
      <c r="P336"/>
      <c r="Q336"/>
      <c r="R336"/>
      <c r="S336"/>
      <c r="T336"/>
      <c r="U336"/>
      <c r="V336"/>
      <c r="W336" s="56"/>
      <c r="X336" s="56"/>
    </row>
    <row r="337" spans="1:24">
      <c r="A337"/>
      <c r="B337"/>
      <c r="C337"/>
      <c r="D337"/>
      <c r="E337"/>
      <c r="F337"/>
      <c r="G337"/>
      <c r="H337"/>
      <c r="I337"/>
      <c r="J337"/>
      <c r="K337"/>
      <c r="L337"/>
      <c r="M337"/>
      <c r="N337"/>
      <c r="O337"/>
      <c r="P337"/>
      <c r="Q337"/>
      <c r="R337"/>
      <c r="S337"/>
      <c r="T337"/>
      <c r="U337"/>
      <c r="V337"/>
      <c r="W337" s="56"/>
      <c r="X337" s="56"/>
    </row>
    <row r="338" spans="1:24">
      <c r="A338"/>
      <c r="B338"/>
      <c r="C338"/>
      <c r="D338"/>
      <c r="E338"/>
      <c r="F338"/>
      <c r="G338"/>
      <c r="H338"/>
      <c r="I338"/>
      <c r="J338"/>
      <c r="K338"/>
      <c r="L338"/>
      <c r="M338"/>
      <c r="N338"/>
      <c r="O338"/>
      <c r="P338"/>
      <c r="Q338"/>
      <c r="R338"/>
      <c r="S338"/>
      <c r="T338"/>
      <c r="U338"/>
      <c r="V338"/>
      <c r="W338" s="56"/>
      <c r="X338" s="56"/>
    </row>
    <row r="339" spans="1:24">
      <c r="A339"/>
      <c r="B339"/>
      <c r="C339"/>
      <c r="D339"/>
      <c r="E339"/>
      <c r="F339"/>
      <c r="G339"/>
      <c r="H339"/>
      <c r="I339"/>
      <c r="J339"/>
      <c r="K339"/>
      <c r="L339"/>
      <c r="M339"/>
      <c r="N339"/>
      <c r="O339"/>
      <c r="P339"/>
      <c r="Q339"/>
      <c r="R339"/>
      <c r="S339"/>
      <c r="T339"/>
      <c r="U339"/>
      <c r="V339"/>
      <c r="W339" s="56"/>
      <c r="X339" s="56"/>
    </row>
    <row r="340" spans="1:24">
      <c r="A340"/>
      <c r="B340"/>
      <c r="C340"/>
      <c r="D340"/>
      <c r="E340"/>
      <c r="F340"/>
      <c r="G340"/>
      <c r="H340"/>
      <c r="I340"/>
      <c r="J340"/>
      <c r="K340"/>
      <c r="L340"/>
      <c r="M340"/>
      <c r="N340"/>
      <c r="O340"/>
      <c r="P340"/>
      <c r="Q340"/>
      <c r="R340"/>
      <c r="S340"/>
      <c r="T340"/>
      <c r="U340"/>
      <c r="V340"/>
      <c r="W340" s="56"/>
      <c r="X340" s="56"/>
    </row>
    <row r="341" spans="1:24">
      <c r="A341"/>
      <c r="B341"/>
      <c r="C341"/>
      <c r="D341"/>
      <c r="E341"/>
      <c r="F341"/>
      <c r="G341"/>
      <c r="H341"/>
      <c r="I341"/>
      <c r="J341"/>
      <c r="K341"/>
      <c r="L341"/>
      <c r="M341"/>
      <c r="N341"/>
      <c r="O341"/>
      <c r="P341"/>
      <c r="Q341"/>
      <c r="R341"/>
      <c r="S341"/>
      <c r="T341"/>
      <c r="U341"/>
      <c r="V341"/>
      <c r="W341" s="56"/>
      <c r="X341" s="56"/>
    </row>
    <row r="342" spans="1:24">
      <c r="A342"/>
      <c r="B342"/>
      <c r="C342"/>
      <c r="D342"/>
      <c r="E342"/>
      <c r="F342"/>
      <c r="G342"/>
      <c r="H342"/>
      <c r="I342"/>
      <c r="J342"/>
      <c r="K342"/>
      <c r="L342"/>
      <c r="M342"/>
      <c r="N342"/>
      <c r="O342"/>
      <c r="P342"/>
      <c r="Q342"/>
      <c r="R342"/>
      <c r="S342"/>
      <c r="T342"/>
      <c r="U342"/>
      <c r="V342"/>
      <c r="W342" s="56"/>
      <c r="X342" s="56"/>
    </row>
    <row r="343" spans="1:24">
      <c r="A343"/>
      <c r="B343"/>
      <c r="C343"/>
      <c r="D343"/>
      <c r="E343"/>
      <c r="F343"/>
      <c r="G343"/>
      <c r="H343"/>
      <c r="I343"/>
      <c r="J343"/>
      <c r="K343"/>
      <c r="L343"/>
      <c r="M343"/>
      <c r="N343"/>
      <c r="O343"/>
      <c r="P343"/>
      <c r="Q343"/>
      <c r="R343"/>
      <c r="S343"/>
      <c r="T343"/>
      <c r="U343"/>
      <c r="V343"/>
      <c r="W343" s="56"/>
      <c r="X343" s="56"/>
    </row>
    <row r="344" spans="1:24">
      <c r="A344"/>
      <c r="B344"/>
      <c r="C344"/>
      <c r="D344"/>
      <c r="E344"/>
      <c r="F344"/>
      <c r="G344"/>
      <c r="H344"/>
      <c r="I344"/>
      <c r="J344"/>
      <c r="K344"/>
      <c r="L344"/>
      <c r="M344"/>
      <c r="N344"/>
      <c r="O344"/>
      <c r="P344"/>
      <c r="Q344"/>
      <c r="R344"/>
      <c r="S344"/>
      <c r="T344"/>
      <c r="U344"/>
      <c r="V344"/>
      <c r="W344" s="56"/>
      <c r="X344" s="56"/>
    </row>
    <row r="345" spans="1:24">
      <c r="A345"/>
      <c r="B345"/>
      <c r="C345"/>
      <c r="D345"/>
      <c r="E345"/>
      <c r="F345"/>
      <c r="G345"/>
      <c r="H345"/>
      <c r="I345"/>
      <c r="J345"/>
      <c r="K345"/>
      <c r="L345"/>
      <c r="M345"/>
      <c r="N345"/>
      <c r="O345"/>
      <c r="P345"/>
      <c r="Q345"/>
      <c r="R345"/>
      <c r="S345"/>
      <c r="T345"/>
      <c r="U345"/>
      <c r="V345"/>
      <c r="W345" s="56"/>
      <c r="X345" s="56"/>
    </row>
    <row r="346" spans="1:24">
      <c r="A346"/>
      <c r="B346"/>
      <c r="C346"/>
      <c r="D346"/>
      <c r="E346"/>
      <c r="F346"/>
      <c r="G346"/>
      <c r="H346"/>
      <c r="I346"/>
      <c r="J346"/>
      <c r="K346"/>
      <c r="L346"/>
      <c r="M346"/>
      <c r="N346"/>
      <c r="O346"/>
      <c r="P346"/>
      <c r="Q346"/>
      <c r="R346"/>
      <c r="S346"/>
      <c r="T346"/>
      <c r="U346"/>
      <c r="V346"/>
      <c r="W346" s="56"/>
      <c r="X346" s="56"/>
    </row>
    <row r="347" spans="1:24">
      <c r="A347"/>
      <c r="B347"/>
      <c r="C347"/>
      <c r="D347"/>
      <c r="E347"/>
      <c r="F347"/>
      <c r="G347"/>
      <c r="H347"/>
      <c r="I347"/>
      <c r="J347"/>
      <c r="K347"/>
      <c r="L347"/>
      <c r="M347"/>
      <c r="N347"/>
      <c r="O347"/>
      <c r="P347"/>
      <c r="Q347"/>
      <c r="R347"/>
      <c r="S347"/>
      <c r="T347"/>
      <c r="U347"/>
      <c r="V347"/>
      <c r="W347" s="56"/>
      <c r="X347" s="56"/>
    </row>
    <row r="348" spans="1:24">
      <c r="A348"/>
      <c r="B348"/>
      <c r="C348"/>
      <c r="D348"/>
      <c r="E348"/>
      <c r="F348"/>
      <c r="G348"/>
      <c r="H348"/>
      <c r="I348"/>
      <c r="J348"/>
      <c r="K348"/>
      <c r="L348"/>
      <c r="M348"/>
      <c r="N348"/>
      <c r="O348"/>
      <c r="P348"/>
      <c r="Q348"/>
      <c r="R348"/>
      <c r="S348"/>
      <c r="T348"/>
      <c r="U348"/>
      <c r="V348"/>
      <c r="W348" s="56"/>
      <c r="X348" s="56"/>
    </row>
    <row r="349" spans="1:24">
      <c r="A349"/>
      <c r="B349"/>
      <c r="C349"/>
      <c r="D349"/>
      <c r="E349"/>
      <c r="F349"/>
      <c r="G349"/>
      <c r="H349"/>
      <c r="I349"/>
      <c r="J349"/>
      <c r="K349"/>
      <c r="L349"/>
      <c r="M349"/>
      <c r="N349"/>
      <c r="O349"/>
      <c r="P349"/>
      <c r="Q349"/>
      <c r="R349"/>
      <c r="S349"/>
      <c r="T349"/>
      <c r="U349"/>
      <c r="V349"/>
      <c r="W349" s="56"/>
      <c r="X349" s="56"/>
    </row>
    <row r="350" spans="1:24">
      <c r="A350"/>
      <c r="B350"/>
      <c r="C350"/>
      <c r="D350"/>
      <c r="E350"/>
      <c r="F350"/>
      <c r="G350"/>
      <c r="H350"/>
      <c r="I350"/>
      <c r="J350"/>
      <c r="K350"/>
      <c r="L350"/>
      <c r="M350"/>
      <c r="N350"/>
      <c r="O350"/>
      <c r="P350"/>
      <c r="Q350"/>
      <c r="R350"/>
      <c r="S350"/>
      <c r="T350"/>
      <c r="U350"/>
      <c r="V350"/>
      <c r="W350" s="56"/>
      <c r="X350" s="56"/>
    </row>
    <row r="351" spans="1:24">
      <c r="A351"/>
      <c r="B351"/>
      <c r="C351"/>
      <c r="D351"/>
      <c r="E351"/>
      <c r="F351"/>
      <c r="G351"/>
      <c r="H351"/>
      <c r="I351"/>
      <c r="J351"/>
      <c r="K351"/>
      <c r="L351"/>
      <c r="M351"/>
      <c r="N351"/>
      <c r="O351"/>
      <c r="P351"/>
      <c r="Q351"/>
      <c r="R351"/>
      <c r="S351"/>
      <c r="T351"/>
      <c r="U351"/>
      <c r="V351"/>
      <c r="W351" s="56"/>
      <c r="X351" s="56"/>
    </row>
    <row r="352" spans="1:24">
      <c r="A352"/>
      <c r="B352"/>
      <c r="C352"/>
      <c r="D352"/>
      <c r="E352"/>
      <c r="F352"/>
      <c r="G352"/>
      <c r="H352"/>
      <c r="I352"/>
      <c r="J352"/>
      <c r="K352"/>
      <c r="L352"/>
      <c r="M352"/>
      <c r="N352"/>
      <c r="O352"/>
      <c r="P352"/>
      <c r="Q352"/>
      <c r="R352"/>
      <c r="S352"/>
      <c r="T352"/>
      <c r="U352"/>
      <c r="V352"/>
      <c r="W352" s="56"/>
      <c r="X352" s="56"/>
    </row>
    <row r="353" spans="1:24">
      <c r="A353"/>
      <c r="B353"/>
      <c r="C353"/>
      <c r="D353"/>
      <c r="E353"/>
      <c r="F353"/>
      <c r="G353"/>
      <c r="H353"/>
      <c r="I353"/>
      <c r="J353"/>
      <c r="K353"/>
      <c r="L353"/>
      <c r="M353"/>
      <c r="N353"/>
      <c r="O353"/>
      <c r="P353"/>
      <c r="Q353"/>
      <c r="R353"/>
      <c r="S353"/>
      <c r="T353"/>
      <c r="U353"/>
      <c r="V353"/>
      <c r="W353" s="56"/>
      <c r="X353" s="56"/>
    </row>
    <row r="354" spans="1:24">
      <c r="A354"/>
      <c r="B354"/>
      <c r="C354"/>
      <c r="D354"/>
      <c r="E354"/>
      <c r="F354"/>
      <c r="G354"/>
      <c r="H354"/>
      <c r="I354"/>
      <c r="J354"/>
      <c r="K354"/>
      <c r="L354"/>
      <c r="M354"/>
      <c r="N354"/>
      <c r="O354"/>
      <c r="P354"/>
      <c r="Q354"/>
      <c r="R354"/>
      <c r="S354"/>
      <c r="T354"/>
      <c r="U354"/>
      <c r="V354"/>
      <c r="W354" s="56"/>
      <c r="X354" s="56"/>
    </row>
    <row r="355" spans="1:24">
      <c r="A355"/>
      <c r="B355"/>
      <c r="C355"/>
      <c r="D355"/>
      <c r="E355"/>
      <c r="F355"/>
      <c r="G355"/>
      <c r="H355"/>
      <c r="I355"/>
      <c r="J355"/>
      <c r="K355"/>
      <c r="L355"/>
      <c r="M355"/>
      <c r="N355"/>
      <c r="O355"/>
      <c r="P355"/>
      <c r="Q355"/>
      <c r="R355"/>
      <c r="S355"/>
      <c r="T355"/>
      <c r="U355"/>
      <c r="V355"/>
      <c r="W355" s="56"/>
      <c r="X355" s="56"/>
    </row>
    <row r="356" spans="1:24">
      <c r="A356"/>
      <c r="B356"/>
      <c r="C356"/>
      <c r="D356"/>
      <c r="E356"/>
      <c r="F356"/>
      <c r="G356"/>
      <c r="H356"/>
      <c r="I356"/>
      <c r="J356"/>
      <c r="K356"/>
      <c r="L356"/>
      <c r="M356"/>
      <c r="N356"/>
      <c r="O356"/>
      <c r="P356"/>
      <c r="Q356"/>
      <c r="R356"/>
      <c r="S356"/>
      <c r="T356"/>
      <c r="U356"/>
      <c r="V356"/>
      <c r="W356" s="56"/>
      <c r="X356" s="56"/>
    </row>
    <row r="357" spans="1:24">
      <c r="A357"/>
      <c r="B357"/>
      <c r="C357"/>
      <c r="D357"/>
      <c r="E357"/>
      <c r="F357"/>
      <c r="G357"/>
      <c r="H357"/>
      <c r="I357"/>
      <c r="J357"/>
      <c r="K357"/>
      <c r="L357"/>
      <c r="M357"/>
      <c r="N357"/>
      <c r="O357"/>
      <c r="P357"/>
      <c r="Q357"/>
      <c r="R357"/>
      <c r="S357"/>
      <c r="T357"/>
      <c r="U357"/>
      <c r="V357"/>
      <c r="W357" s="56"/>
      <c r="X357" s="56"/>
    </row>
    <row r="358" spans="1:24">
      <c r="A358"/>
      <c r="B358"/>
      <c r="C358"/>
      <c r="D358"/>
      <c r="E358"/>
      <c r="F358"/>
      <c r="G358"/>
      <c r="H358"/>
      <c r="I358"/>
      <c r="J358"/>
      <c r="K358"/>
      <c r="L358"/>
      <c r="M358"/>
      <c r="N358"/>
      <c r="O358"/>
      <c r="P358"/>
      <c r="Q358"/>
      <c r="R358"/>
      <c r="S358"/>
      <c r="T358"/>
      <c r="U358"/>
      <c r="V358"/>
      <c r="W358" s="56"/>
      <c r="X358" s="56"/>
    </row>
    <row r="359" spans="1:24">
      <c r="A359"/>
      <c r="B359"/>
      <c r="C359"/>
      <c r="D359"/>
      <c r="E359"/>
      <c r="F359"/>
      <c r="G359"/>
      <c r="H359"/>
      <c r="I359"/>
      <c r="J359"/>
      <c r="K359"/>
      <c r="L359"/>
      <c r="M359"/>
      <c r="N359"/>
      <c r="O359"/>
      <c r="P359"/>
      <c r="Q359"/>
      <c r="R359"/>
      <c r="S359"/>
      <c r="T359"/>
      <c r="U359"/>
      <c r="V359"/>
      <c r="W359" s="56"/>
      <c r="X359" s="56"/>
    </row>
    <row r="360" spans="1:24">
      <c r="A360"/>
      <c r="B360"/>
      <c r="C360"/>
      <c r="D360"/>
      <c r="E360"/>
      <c r="F360"/>
      <c r="G360"/>
      <c r="H360"/>
      <c r="I360"/>
      <c r="J360"/>
      <c r="K360"/>
      <c r="L360"/>
      <c r="M360"/>
      <c r="N360"/>
      <c r="O360"/>
      <c r="P360"/>
      <c r="Q360"/>
      <c r="R360"/>
      <c r="S360"/>
      <c r="T360"/>
      <c r="U360"/>
      <c r="V360"/>
      <c r="W360" s="56"/>
      <c r="X360" s="56"/>
    </row>
    <row r="361" spans="1:24">
      <c r="A361"/>
      <c r="B361"/>
      <c r="C361"/>
      <c r="D361"/>
      <c r="E361"/>
      <c r="F361"/>
      <c r="G361"/>
      <c r="H361"/>
      <c r="I361"/>
      <c r="J361"/>
      <c r="K361"/>
      <c r="L361"/>
      <c r="M361"/>
      <c r="N361"/>
      <c r="O361"/>
      <c r="P361"/>
      <c r="Q361"/>
      <c r="R361"/>
      <c r="S361"/>
      <c r="T361"/>
      <c r="U361"/>
      <c r="V361"/>
      <c r="W361" s="56"/>
      <c r="X361" s="56"/>
    </row>
    <row r="362" spans="1:24">
      <c r="A362"/>
      <c r="B362"/>
      <c r="C362"/>
      <c r="D362"/>
      <c r="E362"/>
      <c r="F362"/>
      <c r="G362"/>
      <c r="H362"/>
      <c r="I362"/>
      <c r="J362"/>
      <c r="K362"/>
      <c r="L362"/>
      <c r="M362"/>
      <c r="N362"/>
      <c r="O362"/>
      <c r="P362"/>
      <c r="Q362"/>
      <c r="R362"/>
      <c r="S362"/>
      <c r="T362"/>
      <c r="U362"/>
      <c r="V362"/>
      <c r="W362" s="56"/>
      <c r="X362" s="56"/>
    </row>
    <row r="363" spans="1:24">
      <c r="A363"/>
      <c r="B363"/>
      <c r="C363"/>
      <c r="D363"/>
      <c r="E363"/>
      <c r="F363"/>
      <c r="G363"/>
      <c r="H363"/>
      <c r="I363"/>
      <c r="J363"/>
      <c r="K363"/>
      <c r="L363"/>
      <c r="M363"/>
      <c r="N363"/>
      <c r="O363"/>
      <c r="P363"/>
      <c r="Q363"/>
      <c r="R363"/>
      <c r="S363"/>
      <c r="T363"/>
      <c r="U363"/>
      <c r="V363"/>
      <c r="W363" s="56"/>
      <c r="X363" s="56"/>
    </row>
    <row r="364" spans="1:24">
      <c r="A364"/>
      <c r="B364"/>
      <c r="C364"/>
      <c r="D364"/>
      <c r="E364"/>
      <c r="F364"/>
      <c r="G364"/>
      <c r="H364"/>
      <c r="I364"/>
      <c r="J364"/>
      <c r="K364"/>
      <c r="L364"/>
      <c r="M364"/>
      <c r="N364"/>
      <c r="O364"/>
      <c r="P364"/>
      <c r="Q364"/>
      <c r="R364"/>
      <c r="S364"/>
      <c r="T364"/>
      <c r="U364"/>
      <c r="V364"/>
      <c r="W364" s="56"/>
      <c r="X364" s="56"/>
    </row>
  </sheetData>
  <autoFilter ref="Z2:AA210" xr:uid="{00000000-0001-0000-0000-000000000000}"/>
  <conditionalFormatting sqref="D1:E1048576">
    <cfRule type="containsText" dxfId="95" priority="2" operator="containsText" text="Nie">
      <formula>NOT(ISERROR(SEARCH("Nie",D1)))</formula>
    </cfRule>
    <cfRule type="containsText" dxfId="94" priority="3" operator="containsText" text="Tak">
      <formula>NOT(ISERROR(SEARCH("Tak",D1)))</formula>
    </cfRule>
  </conditionalFormatting>
  <conditionalFormatting sqref="V3:X235">
    <cfRule type="cellIs" dxfId="93" priority="5" operator="lessThan">
      <formula>0</formula>
    </cfRule>
  </conditionalFormatting>
  <conditionalFormatting sqref="AA1:AA1048576">
    <cfRule type="cellIs" dxfId="92" priority="1" operator="greaterThan">
      <formula>1</formula>
    </cfRule>
  </conditionalFormatting>
  <dataValidations count="2">
    <dataValidation type="list" allowBlank="1" showInputMessage="1" showErrorMessage="1" sqref="D365:F415 D3:E235" xr:uid="{D4810CA4-3A05-45A6-8C5C-15550782E62B}">
      <formula1>"Tak,Nie"</formula1>
    </dataValidation>
    <dataValidation allowBlank="1" showInputMessage="1" showErrorMessage="1" sqref="F3:F235" xr:uid="{1207E6D6-5A25-47C9-9898-7D3B1EFF1597}"/>
  </dataValidations>
  <pageMargins left="0.7" right="0.7" top="0.75" bottom="0.75" header="0.3" footer="0.3"/>
  <drawing r:id="rId1"/>
  <tableParts count="1">
    <tablePart r:id="rId2"/>
  </tableParts>
  <extLs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C6910-73D1-4F69-8337-BD48438868AD}">
  <dimension ref="B4:C39"/>
  <sheetViews>
    <sheetView workbookViewId="0">
      <selection activeCell="B4" sqref="B4:B39"/>
    </sheetView>
  </sheetViews>
  <sheetFormatPr defaultRowHeight="15"/>
  <sheetData>
    <row r="4" spans="2:3">
      <c r="B4" s="124" t="s">
        <v>108</v>
      </c>
      <c r="C4" s="124" t="s">
        <v>109</v>
      </c>
    </row>
    <row r="5" spans="2:3">
      <c r="B5" s="124" t="s">
        <v>329</v>
      </c>
      <c r="C5" s="124" t="s">
        <v>244</v>
      </c>
    </row>
    <row r="6" spans="2:3">
      <c r="B6" s="124" t="s">
        <v>43</v>
      </c>
      <c r="C6" s="124" t="s">
        <v>44</v>
      </c>
    </row>
    <row r="7" spans="2:3">
      <c r="B7" s="124" t="s">
        <v>236</v>
      </c>
      <c r="C7" s="124" t="s">
        <v>178</v>
      </c>
    </row>
    <row r="8" spans="2:3">
      <c r="B8" s="124" t="s">
        <v>75</v>
      </c>
      <c r="C8" s="124" t="s">
        <v>76</v>
      </c>
    </row>
    <row r="9" spans="2:3">
      <c r="B9" s="124" t="s">
        <v>343</v>
      </c>
      <c r="C9" s="124" t="s">
        <v>31</v>
      </c>
    </row>
    <row r="10" spans="2:3">
      <c r="B10" s="124" t="s">
        <v>327</v>
      </c>
      <c r="C10" s="124" t="s">
        <v>328</v>
      </c>
    </row>
    <row r="11" spans="2:3">
      <c r="B11" s="124" t="s">
        <v>326</v>
      </c>
      <c r="C11" s="124" t="s">
        <v>315</v>
      </c>
    </row>
    <row r="12" spans="2:3">
      <c r="B12" s="124" t="s">
        <v>110</v>
      </c>
      <c r="C12" s="124" t="s">
        <v>111</v>
      </c>
    </row>
    <row r="13" spans="2:3">
      <c r="B13" s="124" t="s">
        <v>220</v>
      </c>
      <c r="C13" s="124" t="s">
        <v>221</v>
      </c>
    </row>
    <row r="14" spans="2:3">
      <c r="B14" t="s">
        <v>254</v>
      </c>
      <c r="C14" t="s">
        <v>31</v>
      </c>
    </row>
    <row r="15" spans="2:3">
      <c r="B15" t="s">
        <v>74</v>
      </c>
      <c r="C15" t="s">
        <v>63</v>
      </c>
    </row>
    <row r="16" spans="2:3">
      <c r="B16" s="124" t="s">
        <v>229</v>
      </c>
      <c r="C16" s="124" t="s">
        <v>73</v>
      </c>
    </row>
    <row r="17" spans="2:3">
      <c r="B17" t="s">
        <v>106</v>
      </c>
      <c r="C17" t="s">
        <v>107</v>
      </c>
    </row>
    <row r="18" spans="2:3">
      <c r="B18" t="s">
        <v>232</v>
      </c>
      <c r="C18" t="s">
        <v>57</v>
      </c>
    </row>
    <row r="19" spans="2:3">
      <c r="B19" t="s">
        <v>38</v>
      </c>
      <c r="C19" t="s">
        <v>39</v>
      </c>
    </row>
    <row r="20" spans="2:3">
      <c r="B20" t="s">
        <v>325</v>
      </c>
      <c r="C20" t="s">
        <v>305</v>
      </c>
    </row>
    <row r="21" spans="2:3">
      <c r="B21" t="s">
        <v>260</v>
      </c>
      <c r="C21" t="s">
        <v>29</v>
      </c>
    </row>
    <row r="22" spans="2:3">
      <c r="B22" t="s">
        <v>56</v>
      </c>
      <c r="C22" t="s">
        <v>57</v>
      </c>
    </row>
    <row r="23" spans="2:3">
      <c r="B23" t="s">
        <v>331</v>
      </c>
      <c r="C23" t="s">
        <v>78</v>
      </c>
    </row>
    <row r="24" spans="2:3">
      <c r="B24" t="s">
        <v>181</v>
      </c>
      <c r="C24" t="s">
        <v>182</v>
      </c>
    </row>
    <row r="25" spans="2:3">
      <c r="B25" t="s">
        <v>234</v>
      </c>
      <c r="C25" t="s">
        <v>59</v>
      </c>
    </row>
    <row r="26" spans="2:3">
      <c r="B26" t="s">
        <v>333</v>
      </c>
      <c r="C26" t="s">
        <v>334</v>
      </c>
    </row>
    <row r="27" spans="2:3">
      <c r="B27" t="s">
        <v>77</v>
      </c>
      <c r="C27" t="s">
        <v>78</v>
      </c>
    </row>
    <row r="28" spans="2:3">
      <c r="B28" t="s">
        <v>344</v>
      </c>
      <c r="C28" t="s">
        <v>80</v>
      </c>
    </row>
    <row r="29" spans="2:3">
      <c r="B29" t="s">
        <v>41</v>
      </c>
      <c r="C29" t="s">
        <v>42</v>
      </c>
    </row>
    <row r="30" spans="2:3">
      <c r="B30" t="s">
        <v>69</v>
      </c>
      <c r="C30" t="s">
        <v>70</v>
      </c>
    </row>
    <row r="31" spans="2:3">
      <c r="B31" t="s">
        <v>79</v>
      </c>
      <c r="C31" t="s">
        <v>80</v>
      </c>
    </row>
    <row r="32" spans="2:3">
      <c r="B32" t="s">
        <v>267</v>
      </c>
      <c r="C32" t="s">
        <v>173</v>
      </c>
    </row>
    <row r="33" spans="2:3">
      <c r="B33" t="s">
        <v>330</v>
      </c>
      <c r="C33" t="s">
        <v>127</v>
      </c>
    </row>
    <row r="34" spans="2:3">
      <c r="B34" t="s">
        <v>235</v>
      </c>
      <c r="C34" t="s">
        <v>131</v>
      </c>
    </row>
    <row r="35" spans="2:3">
      <c r="B35" t="s">
        <v>30</v>
      </c>
      <c r="C35" t="s">
        <v>31</v>
      </c>
    </row>
    <row r="36" spans="2:3">
      <c r="B36" t="s">
        <v>348</v>
      </c>
      <c r="C36" t="s">
        <v>168</v>
      </c>
    </row>
    <row r="37" spans="2:3">
      <c r="B37" t="s">
        <v>72</v>
      </c>
      <c r="C37" t="s">
        <v>73</v>
      </c>
    </row>
    <row r="38" spans="2:3">
      <c r="B38" t="s">
        <v>148</v>
      </c>
      <c r="C38" t="s">
        <v>46</v>
      </c>
    </row>
    <row r="39" spans="2:3">
      <c r="B39" t="s">
        <v>47</v>
      </c>
      <c r="C39" t="s">
        <v>48</v>
      </c>
    </row>
  </sheetData>
  <sortState xmlns:xlrd2="http://schemas.microsoft.com/office/spreadsheetml/2017/richdata2" ref="B4:C39">
    <sortCondition ref="B4:B3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C87BF-BB22-4652-A1F0-1E2B8A6DA034}">
  <dimension ref="A1:Q21"/>
  <sheetViews>
    <sheetView showGridLines="0" workbookViewId="0">
      <selection activeCell="I23" sqref="I23"/>
    </sheetView>
  </sheetViews>
  <sheetFormatPr defaultColWidth="9.140625" defaultRowHeight="15"/>
  <cols>
    <col min="1" max="1" width="36.5703125" style="1" bestFit="1" customWidth="1"/>
    <col min="2" max="2" width="17" style="6" bestFit="1" customWidth="1"/>
    <col min="3" max="3" width="9.42578125" style="6" customWidth="1"/>
    <col min="4" max="4" width="12.85546875" style="5" bestFit="1" customWidth="1"/>
    <col min="5" max="5" width="17.140625" style="5" customWidth="1"/>
    <col min="6" max="6" width="16.28515625" style="1" customWidth="1"/>
    <col min="7" max="7" width="15.28515625" style="1" customWidth="1"/>
    <col min="8" max="8" width="15.7109375" style="1" customWidth="1"/>
    <col min="9" max="9" width="69.5703125" style="1" bestFit="1" customWidth="1"/>
    <col min="10" max="16" width="9.140625" style="1"/>
    <col min="17" max="17" width="12.7109375" style="1" bestFit="1" customWidth="1"/>
    <col min="18" max="16384" width="9.140625" style="1"/>
  </cols>
  <sheetData>
    <row r="1" spans="1:9">
      <c r="F1" s="5"/>
      <c r="G1" s="5"/>
    </row>
    <row r="2" spans="1:9" s="2" customFormat="1" ht="29.25">
      <c r="A2" s="2" t="s">
        <v>354</v>
      </c>
      <c r="B2" s="2" t="s">
        <v>355</v>
      </c>
      <c r="C2" s="3" t="s">
        <v>356</v>
      </c>
      <c r="D2" s="26" t="s">
        <v>357</v>
      </c>
      <c r="E2" s="4" t="s">
        <v>358</v>
      </c>
      <c r="F2" s="4" t="s">
        <v>359</v>
      </c>
      <c r="G2" s="4" t="s">
        <v>360</v>
      </c>
      <c r="H2" s="4" t="s">
        <v>361</v>
      </c>
      <c r="I2" s="4" t="s">
        <v>23</v>
      </c>
    </row>
    <row r="3" spans="1:9">
      <c r="A3" s="58" t="s">
        <v>362</v>
      </c>
      <c r="B3" s="32" t="b">
        <v>1</v>
      </c>
      <c r="C3" s="32" t="b">
        <v>1</v>
      </c>
      <c r="D3" s="33">
        <f>Podsumowanie!C12</f>
        <v>363</v>
      </c>
      <c r="E3" s="88">
        <v>270</v>
      </c>
      <c r="F3" s="88">
        <f>Table1[[#This Row],[Ilość]]*Table1[[#This Row],[Cena]]</f>
        <v>98010</v>
      </c>
      <c r="G3" s="88">
        <v>2000</v>
      </c>
      <c r="H3" s="88">
        <f>Table1[[#This Row],[Koszt]]-Table1[[#This Row],[Zaliczka]]</f>
        <v>96010</v>
      </c>
      <c r="I3" s="122" t="s">
        <v>363</v>
      </c>
    </row>
    <row r="4" spans="1:9" s="2" customFormat="1" ht="43.5">
      <c r="A4" s="44" t="s">
        <v>364</v>
      </c>
      <c r="B4" s="43" t="b">
        <v>1</v>
      </c>
      <c r="C4" s="43" t="b">
        <v>1</v>
      </c>
      <c r="D4" s="33">
        <v>30</v>
      </c>
      <c r="E4" s="88">
        <v>0</v>
      </c>
      <c r="F4" s="88">
        <f>Table1[[#This Row],[Ilość]]*Table1[[#This Row],[Cena]]</f>
        <v>0</v>
      </c>
      <c r="G4" s="88"/>
      <c r="H4" s="88">
        <f>Table1[[#This Row],[Koszt]]-Table1[[#This Row],[Zaliczka]]</f>
        <v>0</v>
      </c>
      <c r="I4" s="122"/>
    </row>
    <row r="5" spans="1:9">
      <c r="A5" s="58" t="s">
        <v>365</v>
      </c>
      <c r="B5" s="32" t="b">
        <v>1</v>
      </c>
      <c r="C5" s="32" t="b">
        <v>1</v>
      </c>
      <c r="D5" s="33">
        <v>1</v>
      </c>
      <c r="E5" s="88">
        <v>8000</v>
      </c>
      <c r="F5" s="88">
        <f>Table1[[#This Row],[Ilość]]*Table1[[#This Row],[Cena]]</f>
        <v>8000</v>
      </c>
      <c r="G5" s="88">
        <v>400</v>
      </c>
      <c r="H5" s="88">
        <f>Table1[[#This Row],[Koszt]]-Table1[[#This Row],[Zaliczka]]</f>
        <v>7600</v>
      </c>
      <c r="I5" s="122" t="s">
        <v>366</v>
      </c>
    </row>
    <row r="6" spans="1:9">
      <c r="A6" s="58" t="s">
        <v>367</v>
      </c>
      <c r="B6" s="32" t="b">
        <v>1</v>
      </c>
      <c r="C6" s="32" t="b">
        <v>1</v>
      </c>
      <c r="D6" s="33">
        <v>1</v>
      </c>
      <c r="E6" s="88">
        <v>12000</v>
      </c>
      <c r="F6" s="88">
        <f>Table1[[#This Row],[Ilość]]*Table1[[#This Row],[Cena]]</f>
        <v>12000</v>
      </c>
      <c r="G6" s="88">
        <v>2000</v>
      </c>
      <c r="H6" s="88">
        <f>Table1[[#This Row],[Koszt]]-Table1[[#This Row],[Zaliczka]]</f>
        <v>10000</v>
      </c>
      <c r="I6" s="122" t="s">
        <v>363</v>
      </c>
    </row>
    <row r="7" spans="1:9">
      <c r="A7" s="58" t="s">
        <v>368</v>
      </c>
      <c r="B7" s="32" t="b">
        <v>1</v>
      </c>
      <c r="C7" s="32" t="b">
        <v>1</v>
      </c>
      <c r="D7" s="33">
        <v>1</v>
      </c>
      <c r="E7" s="88">
        <v>1400</v>
      </c>
      <c r="F7" s="88">
        <f>Table1[[#This Row],[Ilość]]*Table1[[#This Row],[Cena]]</f>
        <v>1400</v>
      </c>
      <c r="G7" s="88">
        <v>100</v>
      </c>
      <c r="H7" s="88">
        <f>Table1[[#This Row],[Koszt]]-Table1[[#This Row],[Zaliczka]]</f>
        <v>1300</v>
      </c>
      <c r="I7" s="122" t="s">
        <v>366</v>
      </c>
    </row>
    <row r="8" spans="1:9">
      <c r="A8" s="1" t="s">
        <v>369</v>
      </c>
      <c r="B8" s="32" t="b">
        <v>0</v>
      </c>
      <c r="C8" s="32"/>
      <c r="D8" s="33">
        <v>1</v>
      </c>
      <c r="E8" s="88">
        <v>2000</v>
      </c>
      <c r="F8" s="88">
        <f>Table1[[#This Row],[Ilość]]*Table1[[#This Row],[Cena]]</f>
        <v>2000</v>
      </c>
      <c r="G8" s="88"/>
      <c r="H8" s="88">
        <f>Table1[[#This Row],[Koszt]]-Table1[[#This Row],[Zaliczka]]</f>
        <v>2000</v>
      </c>
      <c r="I8" s="122"/>
    </row>
    <row r="9" spans="1:9">
      <c r="A9" s="1" t="s">
        <v>370</v>
      </c>
      <c r="B9" s="32" t="b">
        <v>0</v>
      </c>
      <c r="C9" s="32"/>
      <c r="D9" s="33">
        <v>1</v>
      </c>
      <c r="E9" s="88">
        <v>300</v>
      </c>
      <c r="F9" s="88">
        <f>Table1[[#This Row],[Ilość]]*Table1[[#This Row],[Cena]]</f>
        <v>300</v>
      </c>
      <c r="G9" s="88"/>
      <c r="H9" s="88">
        <f>Table1[[#This Row],[Koszt]]-Table1[[#This Row],[Zaliczka]]</f>
        <v>300</v>
      </c>
      <c r="I9" s="122"/>
    </row>
    <row r="10" spans="1:9">
      <c r="A10" s="1" t="s">
        <v>371</v>
      </c>
      <c r="B10" s="32" t="b">
        <v>0</v>
      </c>
      <c r="C10" s="32"/>
      <c r="D10" s="33">
        <f>(D3+D4)*1.1</f>
        <v>432.3</v>
      </c>
      <c r="E10" s="88">
        <v>7.5</v>
      </c>
      <c r="F10" s="88">
        <f>Table1[[#This Row],[Ilość]]*Table1[[#This Row],[Cena]]</f>
        <v>3242.25</v>
      </c>
      <c r="G10" s="88"/>
      <c r="H10" s="88">
        <f>Table1[[#This Row],[Koszt]]-Table1[[#This Row],[Zaliczka]]</f>
        <v>3242.25</v>
      </c>
      <c r="I10" s="122"/>
    </row>
    <row r="11" spans="1:9">
      <c r="A11" s="1" t="s">
        <v>372</v>
      </c>
      <c r="B11" s="32" t="b">
        <v>0</v>
      </c>
      <c r="C11" s="32"/>
      <c r="D11" s="33">
        <v>7</v>
      </c>
      <c r="E11" s="88">
        <v>120</v>
      </c>
      <c r="F11" s="88">
        <f>Table1[[#This Row],[Ilość]]*Table1[[#This Row],[Cena]]</f>
        <v>840</v>
      </c>
      <c r="G11" s="88"/>
      <c r="H11" s="88">
        <f>Table1[[#This Row],[Koszt]]-Table1[[#This Row],[Zaliczka]]</f>
        <v>840</v>
      </c>
      <c r="I11" s="122"/>
    </row>
    <row r="12" spans="1:9">
      <c r="A12" s="1" t="s">
        <v>373</v>
      </c>
      <c r="B12" s="32" t="b">
        <v>1</v>
      </c>
      <c r="C12" s="32" t="b">
        <v>1</v>
      </c>
      <c r="D12" s="33">
        <v>10</v>
      </c>
      <c r="E12" s="88">
        <v>180</v>
      </c>
      <c r="F12" s="88">
        <f>Table1[[#This Row],[Ilość]]*Table1[[#This Row],[Cena]]</f>
        <v>1800</v>
      </c>
      <c r="G12" s="88">
        <v>180</v>
      </c>
      <c r="H12" s="88">
        <f>Table1[[#This Row],[Koszt]]-Table1[[#This Row],[Zaliczka]]</f>
        <v>1620</v>
      </c>
      <c r="I12" s="122" t="s">
        <v>366</v>
      </c>
    </row>
    <row r="13" spans="1:9">
      <c r="A13" s="1" t="s">
        <v>374</v>
      </c>
      <c r="B13" s="32" t="b">
        <v>0</v>
      </c>
      <c r="C13" s="32" t="b">
        <v>0</v>
      </c>
      <c r="D13" s="84">
        <f>Podsumowanie!B12</f>
        <v>222</v>
      </c>
      <c r="E13" s="89">
        <v>10</v>
      </c>
      <c r="F13" s="89">
        <f>Table1[[#This Row],[Ilość]]*Table1[[#This Row],[Cena]]</f>
        <v>2220</v>
      </c>
      <c r="G13" s="89">
        <v>75.849999999999994</v>
      </c>
      <c r="H13" s="89">
        <f>Table1[[#This Row],[Koszt]]-Table1[[#This Row],[Zaliczka]]</f>
        <v>2144.15</v>
      </c>
      <c r="I13" s="122" t="s">
        <v>375</v>
      </c>
    </row>
    <row r="14" spans="1:9">
      <c r="A14" s="1" t="s">
        <v>376</v>
      </c>
      <c r="B14" s="1"/>
      <c r="C14" s="1"/>
      <c r="D14" s="35"/>
      <c r="E14" s="35"/>
      <c r="F14" s="34">
        <f>SUBTOTAL(109,F3:F13)</f>
        <v>129812.25</v>
      </c>
      <c r="G14" s="34">
        <f>SUBTOTAL(109,G3:G13)</f>
        <v>4755.8500000000004</v>
      </c>
      <c r="H14" s="34">
        <f>SUBTOTAL(109,H3:H13)</f>
        <v>125056.4</v>
      </c>
      <c r="I14" s="35"/>
    </row>
    <row r="18" spans="6:17">
      <c r="Q18" s="5"/>
    </row>
    <row r="19" spans="6:17">
      <c r="Q19" s="5"/>
    </row>
    <row r="21" spans="6:17">
      <c r="F21" s="5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4C4521-749B-409C-BE5E-248315EEF2F8}">
  <dimension ref="A1:V34"/>
  <sheetViews>
    <sheetView showGridLines="0" workbookViewId="0">
      <selection activeCell="M29" sqref="M29"/>
    </sheetView>
  </sheetViews>
  <sheetFormatPr defaultRowHeight="15"/>
  <cols>
    <col min="1" max="1" width="30.85546875" customWidth="1"/>
    <col min="2" max="2" width="22.5703125" style="9" customWidth="1"/>
    <col min="3" max="4" width="11.5703125" bestFit="1" customWidth="1"/>
    <col min="5" max="5" width="19.7109375" style="27" bestFit="1" customWidth="1"/>
    <col min="6" max="6" width="9.28515625" bestFit="1" customWidth="1"/>
    <col min="7" max="7" width="7.42578125" bestFit="1" customWidth="1"/>
    <col min="8" max="8" width="15" style="61" bestFit="1" customWidth="1"/>
    <col min="9" max="9" width="5.140625" style="61" customWidth="1"/>
    <col min="10" max="10" width="17.42578125" bestFit="1" customWidth="1"/>
    <col min="11" max="11" width="14.7109375" bestFit="1" customWidth="1"/>
    <col min="12" max="12" width="13.5703125" bestFit="1" customWidth="1"/>
    <col min="21" max="21" width="19.85546875" bestFit="1" customWidth="1"/>
  </cols>
  <sheetData>
    <row r="1" spans="1:22" ht="33" customHeight="1">
      <c r="A1" s="22" t="s">
        <v>377</v>
      </c>
      <c r="B1" s="65" t="s">
        <v>378</v>
      </c>
      <c r="C1" s="39" t="s">
        <v>379</v>
      </c>
      <c r="D1" s="24" t="s">
        <v>380</v>
      </c>
      <c r="E1" s="92" t="s">
        <v>381</v>
      </c>
      <c r="F1" s="92" t="s">
        <v>382</v>
      </c>
      <c r="G1" s="92" t="s">
        <v>383</v>
      </c>
      <c r="H1" s="92" t="s">
        <v>384</v>
      </c>
      <c r="I1" s="92"/>
      <c r="J1" s="93" t="s">
        <v>385</v>
      </c>
      <c r="K1" s="93" t="s">
        <v>386</v>
      </c>
      <c r="L1" s="93" t="s">
        <v>21</v>
      </c>
      <c r="T1" s="63"/>
      <c r="U1" s="90"/>
      <c r="V1" s="63"/>
    </row>
    <row r="2" spans="1:22">
      <c r="A2" s="41" t="s">
        <v>179</v>
      </c>
      <c r="B2" s="38">
        <f>COUNTIFS('Lista uczniów_składki'!D:D,"Tak",'Lista uczniów_składki'!C:C,Podsumowanie!A2)</f>
        <v>33</v>
      </c>
      <c r="C2" s="40">
        <f>COUNTIFS('Lista uczniów_składki'!E:E,"Tak",'Lista uczniów_składki'!C:C,Podsumowanie!A2)</f>
        <v>29</v>
      </c>
      <c r="D2" s="38">
        <f>SUM(B2:C2)</f>
        <v>62</v>
      </c>
      <c r="E2" s="125">
        <v>35</v>
      </c>
      <c r="F2" s="46">
        <f>IF(E2="","",H2/E2)</f>
        <v>1</v>
      </c>
      <c r="G2" s="57">
        <f>H2-E2</f>
        <v>0</v>
      </c>
      <c r="H2" s="60">
        <f>COUNTIFS('Lista uczniów_składki'!D:D,"Tak",'Lista uczniów_składki'!C:C,Podsumowanie!A2)+COUNTIFS('Lista uczniów_składki'!D:D,"Nie",'Lista uczniów_składki'!C:C,Podsumowanie!A2)</f>
        <v>35</v>
      </c>
      <c r="I2" s="60"/>
      <c r="J2" s="91">
        <f>SUMIFS('Lista uczniów_składki'!U:U,'Lista uczniów_składki'!C:C,Podsumowanie!A2)</f>
        <v>22020</v>
      </c>
      <c r="K2" s="91">
        <f>SUMIFS('Lista uczniów_składki'!T:T,'Lista uczniów_składki'!C:C,Podsumowanie!A2)</f>
        <v>7350</v>
      </c>
      <c r="L2" s="91">
        <f>K2-J2</f>
        <v>-14670</v>
      </c>
      <c r="T2" s="63"/>
      <c r="U2" s="90"/>
      <c r="V2" s="63"/>
    </row>
    <row r="3" spans="1:22" s="7" customFormat="1">
      <c r="A3" s="42" t="s">
        <v>53</v>
      </c>
      <c r="B3" s="38">
        <f>COUNTIFS('Lista uczniów_składki'!D:D,"Tak",'Lista uczniów_składki'!C:C,Podsumowanie!A3)</f>
        <v>24</v>
      </c>
      <c r="C3" s="40">
        <f>COUNTIFS('Lista uczniów_składki'!E:E,"Tak",'Lista uczniów_składki'!C:C,Podsumowanie!A3)</f>
        <v>16</v>
      </c>
      <c r="D3" s="38">
        <f>SUM(B3:C3)</f>
        <v>40</v>
      </c>
      <c r="E3" s="125">
        <v>25</v>
      </c>
      <c r="F3" s="46">
        <f t="shared" ref="F3:F8" si="0">IF(E3="","",H3/E3)</f>
        <v>1</v>
      </c>
      <c r="G3" s="57">
        <f t="shared" ref="G3:G8" si="1">H3-E3</f>
        <v>0</v>
      </c>
      <c r="H3" s="60">
        <f>COUNTIFS('Lista uczniów_składki'!D:D,"Tak",'Lista uczniów_składki'!C:C,Podsumowanie!A3)+COUNTIFS('Lista uczniów_składki'!D:D,"Nie",'Lista uczniów_składki'!C:C,Podsumowanie!A3)</f>
        <v>25</v>
      </c>
      <c r="I3" s="60"/>
      <c r="J3" s="91">
        <f>SUMIFS('Lista uczniów_składki'!U:U,'Lista uczniów_składki'!C:C,Podsumowanie!A3)</f>
        <v>14640</v>
      </c>
      <c r="K3" s="91">
        <f>SUMIFS('Lista uczniów_składki'!T:T,'Lista uczniów_składki'!C:C,Podsumowanie!A3)</f>
        <v>5300</v>
      </c>
      <c r="L3" s="91">
        <f t="shared" ref="L3:L8" si="2">K3-J3</f>
        <v>-9340</v>
      </c>
      <c r="T3" s="63"/>
      <c r="U3" s="90"/>
      <c r="V3" s="63"/>
    </row>
    <row r="4" spans="1:22">
      <c r="A4" s="20" t="s">
        <v>87</v>
      </c>
      <c r="B4" s="38">
        <f>COUNTIFS('Lista uczniów_składki'!D:D,"Tak",'Lista uczniów_składki'!C:C,Podsumowanie!A4)</f>
        <v>35</v>
      </c>
      <c r="C4" s="40">
        <f>COUNTIFS('Lista uczniów_składki'!E:E,"Tak",'Lista uczniów_składki'!C:C,Podsumowanie!A4)</f>
        <v>19</v>
      </c>
      <c r="D4" s="38">
        <f t="shared" ref="D4:D8" si="3">SUM(B4:C4)</f>
        <v>54</v>
      </c>
      <c r="E4" s="125">
        <v>36</v>
      </c>
      <c r="F4" s="46">
        <f t="shared" si="0"/>
        <v>1</v>
      </c>
      <c r="G4" s="57">
        <f t="shared" si="1"/>
        <v>0</v>
      </c>
      <c r="H4" s="60">
        <f>COUNTIFS('Lista uczniów_składki'!D:D,"Tak",'Lista uczniów_składki'!C:C,Podsumowanie!A4)+COUNTIFS('Lista uczniów_składki'!D:D,"Nie",'Lista uczniów_składki'!C:C,Podsumowanie!A4)</f>
        <v>36</v>
      </c>
      <c r="I4" s="60"/>
      <c r="J4" s="91">
        <f>SUMIFS('Lista uczniów_składki'!U:U,'Lista uczniów_składki'!C:C,Podsumowanie!A4)</f>
        <v>20180</v>
      </c>
      <c r="K4" s="91">
        <f>SUMIFS('Lista uczniów_składki'!T:T,'Lista uczniów_składki'!C:C,Podsumowanie!A4)</f>
        <v>10100</v>
      </c>
      <c r="L4" s="91">
        <f t="shared" si="2"/>
        <v>-10080</v>
      </c>
      <c r="T4" s="63"/>
      <c r="U4" s="90"/>
      <c r="V4" s="63"/>
    </row>
    <row r="5" spans="1:22">
      <c r="A5" s="20" t="s">
        <v>188</v>
      </c>
      <c r="B5" s="38">
        <f>COUNTIFS('Lista uczniów_składki'!D:D,"Tak",'Lista uczniów_składki'!C:C,Podsumowanie!A5)</f>
        <v>35</v>
      </c>
      <c r="C5" s="40">
        <f>COUNTIFS('Lista uczniów_składki'!E:E,"Tak",'Lista uczniów_składki'!C:C,Podsumowanie!A5)</f>
        <v>24</v>
      </c>
      <c r="D5" s="38">
        <f t="shared" si="3"/>
        <v>59</v>
      </c>
      <c r="E5" s="125">
        <v>35</v>
      </c>
      <c r="F5" s="46">
        <f t="shared" si="0"/>
        <v>1</v>
      </c>
      <c r="G5" s="57">
        <f t="shared" si="1"/>
        <v>0</v>
      </c>
      <c r="H5" s="60">
        <f>COUNTIFS('Lista uczniów_składki'!D:D,"Tak",'Lista uczniów_składki'!C:C,Podsumowanie!A5)+COUNTIFS('Lista uczniów_składki'!D:D,"Nie",'Lista uczniów_składki'!C:C,Podsumowanie!A5)</f>
        <v>35</v>
      </c>
      <c r="I5" s="60"/>
      <c r="J5" s="91">
        <f>SUMIFS('Lista uczniów_składki'!U:U,'Lista uczniów_składki'!C:C,Podsumowanie!A5)</f>
        <v>21530</v>
      </c>
      <c r="K5" s="91">
        <f>SUMIFS('Lista uczniów_składki'!T:T,'Lista uczniów_składki'!C:C,Podsumowanie!A5)</f>
        <v>9050</v>
      </c>
      <c r="L5" s="91">
        <f t="shared" si="2"/>
        <v>-12480</v>
      </c>
      <c r="T5" s="63"/>
      <c r="U5" s="90"/>
      <c r="V5" s="63"/>
    </row>
    <row r="6" spans="1:22">
      <c r="A6" s="20" t="s">
        <v>32</v>
      </c>
      <c r="B6" s="38">
        <f>COUNTIFS('Lista uczniów_składki'!D:D,"Tak",'Lista uczniów_składki'!C:C,Podsumowanie!A6)</f>
        <v>35</v>
      </c>
      <c r="C6" s="40">
        <f>COUNTIFS('Lista uczniów_składki'!E:E,"Tak",'Lista uczniów_składki'!C:C,Podsumowanie!A6)</f>
        <v>14</v>
      </c>
      <c r="D6" s="38">
        <f t="shared" si="3"/>
        <v>49</v>
      </c>
      <c r="E6" s="125">
        <v>36</v>
      </c>
      <c r="F6" s="46">
        <f t="shared" si="0"/>
        <v>1</v>
      </c>
      <c r="G6" s="57">
        <f t="shared" si="1"/>
        <v>0</v>
      </c>
      <c r="H6" s="60">
        <f>COUNTIFS('Lista uczniów_składki'!D:D,"Tak",'Lista uczniów_składki'!C:C,Podsumowanie!A6)+COUNTIFS('Lista uczniów_składki'!D:D,"Nie",'Lista uczniów_składki'!C:C,Podsumowanie!A6)</f>
        <v>36</v>
      </c>
      <c r="I6" s="60"/>
      <c r="J6" s="91">
        <f>SUMIFS('Lista uczniów_składki'!U:U,'Lista uczniów_składki'!C:C,Podsumowanie!A6)</f>
        <v>18830</v>
      </c>
      <c r="K6" s="91">
        <f>SUMIFS('Lista uczniów_składki'!T:T,'Lista uczniów_składki'!C:C,Podsumowanie!A6)</f>
        <v>10100</v>
      </c>
      <c r="L6" s="91">
        <f t="shared" si="2"/>
        <v>-8730</v>
      </c>
      <c r="T6" s="63"/>
      <c r="U6" s="90"/>
      <c r="V6" s="63"/>
    </row>
    <row r="7" spans="1:22">
      <c r="A7" s="20" t="s">
        <v>26</v>
      </c>
      <c r="B7" s="38">
        <f>COUNTIFS('Lista uczniów_składki'!D:D,"Tak",'Lista uczniów_składki'!C:C,Podsumowanie!A7)</f>
        <v>34</v>
      </c>
      <c r="C7" s="40">
        <f>COUNTIFS('Lista uczniów_składki'!E:E,"Tak",'Lista uczniów_składki'!C:C,Podsumowanie!A7)</f>
        <v>23</v>
      </c>
      <c r="D7" s="38">
        <f t="shared" si="3"/>
        <v>57</v>
      </c>
      <c r="E7" s="125">
        <v>36</v>
      </c>
      <c r="F7" s="46">
        <f t="shared" si="0"/>
        <v>1</v>
      </c>
      <c r="G7" s="57">
        <f t="shared" si="1"/>
        <v>0</v>
      </c>
      <c r="H7" s="60">
        <f>COUNTIFS('Lista uczniów_składki'!D:D,"Tak",'Lista uczniów_składki'!C:C,Podsumowanie!A7)+COUNTIFS('Lista uczniów_składki'!D:D,"Nie",'Lista uczniów_składki'!C:C,Podsumowanie!A7)</f>
        <v>36</v>
      </c>
      <c r="I7" s="60"/>
      <c r="J7" s="91">
        <f>SUMIFS('Lista uczniów_składki'!U:U,'Lista uczniów_składki'!C:C,Podsumowanie!A7)</f>
        <v>20830</v>
      </c>
      <c r="K7" s="91">
        <f>SUMIFS('Lista uczniów_składki'!T:T,'Lista uczniów_składki'!C:C,Podsumowanie!A7)</f>
        <v>1700</v>
      </c>
      <c r="L7" s="91">
        <f t="shared" si="2"/>
        <v>-19130</v>
      </c>
      <c r="T7" s="63"/>
      <c r="U7" s="90"/>
      <c r="V7" s="63"/>
    </row>
    <row r="8" spans="1:22">
      <c r="A8" s="20" t="s">
        <v>113</v>
      </c>
      <c r="B8" s="38">
        <f>COUNTIFS('Lista uczniów_składki'!D:D,"Tak",'Lista uczniów_składki'!C:C,Podsumowanie!A8)</f>
        <v>26</v>
      </c>
      <c r="C8" s="40">
        <f>COUNTIFS('Lista uczniów_składki'!E:E,"Tak",'Lista uczniów_składki'!C:C,Podsumowanie!A8)</f>
        <v>16</v>
      </c>
      <c r="D8" s="38">
        <f t="shared" si="3"/>
        <v>42</v>
      </c>
      <c r="E8" s="125">
        <v>30</v>
      </c>
      <c r="F8" s="46">
        <f t="shared" si="0"/>
        <v>1</v>
      </c>
      <c r="G8" s="57">
        <f t="shared" si="1"/>
        <v>0</v>
      </c>
      <c r="H8" s="60">
        <f>COUNTIFS('Lista uczniów_składki'!D:D,"Tak",'Lista uczniów_składki'!C:C,Podsumowanie!A8)+COUNTIFS('Lista uczniów_składki'!D:D,"Nie",'Lista uczniów_składki'!C:C,Podsumowanie!A8)</f>
        <v>30</v>
      </c>
      <c r="I8" s="60"/>
      <c r="J8" s="94">
        <f>SUMIFS('Lista uczniów_składki'!U:U,'Lista uczniów_składki'!C:C,Podsumowanie!A8)</f>
        <v>15500</v>
      </c>
      <c r="K8" s="94">
        <f>SUMIFS('Lista uczniów_składki'!T:T,'Lista uczniów_składki'!C:C,Podsumowanie!A8)</f>
        <v>1450</v>
      </c>
      <c r="L8" s="94">
        <f t="shared" si="2"/>
        <v>-14050</v>
      </c>
      <c r="T8" s="63"/>
      <c r="U8" s="90"/>
      <c r="V8" s="63"/>
    </row>
    <row r="9" spans="1:22">
      <c r="E9" s="63"/>
      <c r="J9" s="91">
        <f>SUM(J2:J8)</f>
        <v>133530</v>
      </c>
      <c r="K9" s="91">
        <f t="shared" ref="K9:L9" si="4">SUM(K2:K8)</f>
        <v>45050</v>
      </c>
      <c r="L9" s="91">
        <f t="shared" si="4"/>
        <v>-88480</v>
      </c>
    </row>
    <row r="11" spans="1:22">
      <c r="A11" s="126" t="s">
        <v>387</v>
      </c>
      <c r="B11" s="126"/>
      <c r="E11" s="63"/>
    </row>
    <row r="12" spans="1:22">
      <c r="A12" s="28" t="s">
        <v>388</v>
      </c>
      <c r="B12" s="16">
        <f>SUM(B2:B8)</f>
        <v>222</v>
      </c>
      <c r="C12" s="127">
        <f>SUM(B12:B13)</f>
        <v>363</v>
      </c>
      <c r="E12" s="63"/>
    </row>
    <row r="13" spans="1:22" s="8" customFormat="1">
      <c r="A13" s="29" t="s">
        <v>389</v>
      </c>
      <c r="B13" s="17">
        <f>SUM(C2:C8)</f>
        <v>141</v>
      </c>
      <c r="C13" s="128"/>
      <c r="E13" s="63"/>
      <c r="H13" s="61"/>
      <c r="I13" s="61"/>
    </row>
    <row r="14" spans="1:22" s="27" customFormat="1" ht="27.75">
      <c r="A14" s="30" t="s">
        <v>390</v>
      </c>
      <c r="B14" s="87">
        <f>Wydatki!D4</f>
        <v>30</v>
      </c>
      <c r="C14" s="125" t="s">
        <v>391</v>
      </c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3"/>
      <c r="P14" s="63"/>
      <c r="Q14" s="63"/>
      <c r="R14" s="63"/>
      <c r="S14" s="63"/>
      <c r="T14" s="63"/>
      <c r="U14" s="63"/>
      <c r="V14" s="63"/>
    </row>
    <row r="15" spans="1:22">
      <c r="A15" s="29" t="s">
        <v>392</v>
      </c>
      <c r="B15" s="12">
        <f>SUM(Wydatki!F3:F4)</f>
        <v>98010</v>
      </c>
      <c r="E15" s="63"/>
    </row>
    <row r="16" spans="1:22" s="8" customFormat="1">
      <c r="A16" s="29" t="s">
        <v>393</v>
      </c>
      <c r="B16" s="13">
        <f>SUM(Wydatki!F5:F13)</f>
        <v>31802.25</v>
      </c>
      <c r="E16" s="63"/>
      <c r="H16" s="61"/>
      <c r="I16" s="61"/>
    </row>
    <row r="17" spans="1:9" s="8" customFormat="1">
      <c r="A17" s="31" t="s">
        <v>394</v>
      </c>
      <c r="B17" s="14">
        <f>SUM(B15:B16)</f>
        <v>129812.25</v>
      </c>
      <c r="E17" s="63"/>
      <c r="H17" s="61"/>
      <c r="I17" s="61"/>
    </row>
    <row r="18" spans="1:9" s="8" customFormat="1" ht="6" customHeight="1">
      <c r="A18" s="25"/>
      <c r="B18" s="10"/>
      <c r="E18" s="63"/>
      <c r="H18" s="61"/>
      <c r="I18" s="61"/>
    </row>
    <row r="19" spans="1:9" s="8" customFormat="1">
      <c r="A19" s="109" t="s">
        <v>395</v>
      </c>
      <c r="B19" s="64">
        <v>430</v>
      </c>
      <c r="C19" s="129">
        <f>B19+B20</f>
        <v>700</v>
      </c>
      <c r="E19" s="63"/>
      <c r="H19" s="61"/>
      <c r="I19" s="61"/>
    </row>
    <row r="20" spans="1:9">
      <c r="A20" s="59" t="s">
        <v>396</v>
      </c>
      <c r="B20" s="110">
        <f>Wydatki!E3</f>
        <v>270</v>
      </c>
      <c r="C20" s="129"/>
      <c r="E20" s="63"/>
    </row>
    <row r="21" spans="1:9" ht="6.75" customHeight="1">
      <c r="E21" s="63"/>
    </row>
    <row r="22" spans="1:9">
      <c r="A22" s="19" t="s">
        <v>397</v>
      </c>
      <c r="B22" s="11">
        <f>B19*B12+B20*B13</f>
        <v>133530</v>
      </c>
      <c r="E22" s="108"/>
    </row>
    <row r="23" spans="1:9">
      <c r="A23" s="20" t="s">
        <v>398</v>
      </c>
      <c r="B23" s="12">
        <f>SUM(Table1[Koszt])</f>
        <v>129812.25</v>
      </c>
      <c r="E23" s="63"/>
    </row>
    <row r="24" spans="1:9">
      <c r="A24" s="21" t="s">
        <v>399</v>
      </c>
      <c r="B24" s="15">
        <f>B22-B23</f>
        <v>3717.75</v>
      </c>
      <c r="E24" s="63"/>
    </row>
    <row r="26" spans="1:9">
      <c r="A26" s="22" t="s">
        <v>377</v>
      </c>
      <c r="B26" s="24" t="s">
        <v>400</v>
      </c>
      <c r="E26" s="63"/>
    </row>
    <row r="27" spans="1:9">
      <c r="A27" s="41" t="s">
        <v>179</v>
      </c>
      <c r="B27" s="18">
        <f>IF(B2=0,"",B$24/SUM($B$3:$B$8)*B2)</f>
        <v>649.13095238095241</v>
      </c>
      <c r="E27" s="63"/>
    </row>
    <row r="28" spans="1:9" s="7" customFormat="1">
      <c r="A28" s="23" t="s">
        <v>53</v>
      </c>
      <c r="B28" s="18">
        <f>IF(B3=0,"",B$24/SUM($B$3:$B$8)*B3)</f>
        <v>472.09523809523807</v>
      </c>
      <c r="E28" s="45"/>
      <c r="H28" s="62"/>
      <c r="I28" s="62"/>
    </row>
    <row r="29" spans="1:9">
      <c r="A29" s="20" t="s">
        <v>87</v>
      </c>
      <c r="B29" s="18">
        <f>IF(B4=0,"",B$24/SUM($B$3:$B$8)*B4)</f>
        <v>688.47222222222229</v>
      </c>
      <c r="E29" s="63"/>
    </row>
    <row r="30" spans="1:9">
      <c r="A30" s="20" t="s">
        <v>188</v>
      </c>
      <c r="B30" s="18">
        <f>IF(B5=0,"",B$24/SUM($B$3:$B$8)*B5)</f>
        <v>688.47222222222229</v>
      </c>
      <c r="E30" s="63"/>
    </row>
    <row r="31" spans="1:9">
      <c r="A31" s="20" t="s">
        <v>32</v>
      </c>
      <c r="B31" s="18">
        <f>IF(B6=0,"",B$24/SUM($B$3:$B$8)*B6)</f>
        <v>688.47222222222229</v>
      </c>
      <c r="E31" s="63"/>
    </row>
    <row r="32" spans="1:9">
      <c r="A32" s="20" t="s">
        <v>26</v>
      </c>
      <c r="B32" s="18">
        <f>IF(B7=0,"",B$24/SUM($B$3:$B$8)*B7)</f>
        <v>668.80158730158735</v>
      </c>
      <c r="E32" s="63"/>
    </row>
    <row r="33" spans="1:5">
      <c r="A33" s="20" t="s">
        <v>113</v>
      </c>
      <c r="B33" s="18">
        <f>IF(B8=0,"",B$24/SUM($B$3:$B$8)*B8)</f>
        <v>511.43650793650795</v>
      </c>
      <c r="E33" s="63"/>
    </row>
    <row r="34" spans="1:5">
      <c r="E34" s="63"/>
    </row>
  </sheetData>
  <mergeCells count="3">
    <mergeCell ref="A11:B11"/>
    <mergeCell ref="C12:C13"/>
    <mergeCell ref="C19:C20"/>
  </mergeCells>
  <conditionalFormatting sqref="B24">
    <cfRule type="cellIs" dxfId="45" priority="5" operator="lessThan">
      <formula>0</formula>
    </cfRule>
    <cfRule type="cellIs" dxfId="44" priority="6" operator="greaterThan">
      <formula>0</formula>
    </cfRule>
  </conditionalFormatting>
  <conditionalFormatting sqref="L2:L8">
    <cfRule type="cellIs" dxfId="43" priority="1" operator="equal">
      <formula>0</formula>
    </cfRule>
    <cfRule type="cellIs" dxfId="42" priority="2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235FE4-7C05-4EE5-B6BD-B7E167384F75}">
  <dimension ref="A4:F51"/>
  <sheetViews>
    <sheetView showGridLines="0" workbookViewId="0">
      <selection activeCell="C11" sqref="C11"/>
    </sheetView>
  </sheetViews>
  <sheetFormatPr defaultColWidth="9.140625" defaultRowHeight="15"/>
  <cols>
    <col min="1" max="1" width="9.5703125" style="1" bestFit="1" customWidth="1"/>
    <col min="2" max="2" width="4.42578125" style="81" customWidth="1"/>
    <col min="3" max="3" width="42.140625" style="1" customWidth="1"/>
    <col min="4" max="4" width="18.140625" style="1" bestFit="1" customWidth="1"/>
    <col min="5" max="5" width="13.5703125" style="1" bestFit="1" customWidth="1"/>
    <col min="6" max="6" width="19.42578125" style="1" bestFit="1" customWidth="1"/>
    <col min="7" max="7" width="9.140625" style="1"/>
    <col min="8" max="8" width="21.42578125" style="1" bestFit="1" customWidth="1"/>
    <col min="9" max="9" width="10.7109375" style="1" customWidth="1"/>
    <col min="10" max="10" width="19.42578125" style="1" bestFit="1" customWidth="1"/>
    <col min="11" max="16384" width="9.140625" style="1"/>
  </cols>
  <sheetData>
    <row r="4" spans="1:5">
      <c r="C4" s="85" t="s">
        <v>401</v>
      </c>
      <c r="D4" s="67"/>
    </row>
    <row r="5" spans="1:5">
      <c r="C5" s="1" t="s">
        <v>402</v>
      </c>
      <c r="D5" s="68">
        <f>SUM(Podsumowanie!E2:E8)</f>
        <v>233</v>
      </c>
    </row>
    <row r="6" spans="1:5">
      <c r="C6" s="1" t="s">
        <v>403</v>
      </c>
      <c r="D6" s="68">
        <f>SUM(Podsumowanie!B2:B8)</f>
        <v>222</v>
      </c>
    </row>
    <row r="7" spans="1:5">
      <c r="C7" s="1" t="s">
        <v>404</v>
      </c>
      <c r="D7" s="68">
        <f>SUM(Podsumowanie!C2:C8)</f>
        <v>141</v>
      </c>
    </row>
    <row r="8" spans="1:5">
      <c r="C8" s="1" t="s">
        <v>405</v>
      </c>
      <c r="D8" s="68">
        <f>D6+D7</f>
        <v>363</v>
      </c>
    </row>
    <row r="9" spans="1:5" ht="16.5" customHeight="1">
      <c r="A9" s="131" t="s">
        <v>406</v>
      </c>
      <c r="B9" s="132" t="s">
        <v>360</v>
      </c>
      <c r="C9" s="69" t="s">
        <v>407</v>
      </c>
      <c r="D9" s="106">
        <f>Podsumowanie!B14</f>
        <v>30</v>
      </c>
      <c r="E9" s="105" t="s">
        <v>408</v>
      </c>
    </row>
    <row r="10" spans="1:5" ht="15" customHeight="1">
      <c r="A10" s="131"/>
      <c r="B10" s="132"/>
    </row>
    <row r="11" spans="1:5" ht="18" customHeight="1">
      <c r="A11" s="131"/>
      <c r="B11" s="132"/>
      <c r="C11" s="85" t="s">
        <v>409</v>
      </c>
      <c r="D11" s="67"/>
    </row>
    <row r="12" spans="1:5">
      <c r="A12" s="82" t="b">
        <v>1</v>
      </c>
      <c r="B12" s="82" t="b">
        <v>1</v>
      </c>
      <c r="C12" s="70" t="s">
        <v>410</v>
      </c>
      <c r="D12" s="71">
        <f>Wydatki!F3</f>
        <v>98010</v>
      </c>
      <c r="E12" s="115" t="s">
        <v>363</v>
      </c>
    </row>
    <row r="13" spans="1:5" ht="28.5">
      <c r="A13" s="83" t="b">
        <v>1</v>
      </c>
      <c r="B13" s="83" t="b">
        <v>1</v>
      </c>
      <c r="C13" s="72" t="s">
        <v>364</v>
      </c>
      <c r="D13" s="76">
        <f>Wydatki!F4</f>
        <v>0</v>
      </c>
      <c r="E13" s="115"/>
    </row>
    <row r="14" spans="1:5">
      <c r="A14" s="82" t="b">
        <v>1</v>
      </c>
      <c r="B14" s="82" t="b">
        <v>1</v>
      </c>
      <c r="C14" s="70" t="s">
        <v>411</v>
      </c>
      <c r="D14" s="71">
        <f>Wydatki!F5</f>
        <v>8000</v>
      </c>
      <c r="E14" s="115" t="s">
        <v>366</v>
      </c>
    </row>
    <row r="15" spans="1:5">
      <c r="A15" s="82" t="b">
        <v>1</v>
      </c>
      <c r="B15" s="82" t="b">
        <v>1</v>
      </c>
      <c r="C15" s="70" t="s">
        <v>412</v>
      </c>
      <c r="D15" s="71">
        <f>Wydatki!F6</f>
        <v>12000</v>
      </c>
      <c r="E15" s="105" t="s">
        <v>363</v>
      </c>
    </row>
    <row r="16" spans="1:5">
      <c r="A16" s="82" t="b">
        <v>1</v>
      </c>
      <c r="B16" s="82" t="b">
        <v>1</v>
      </c>
      <c r="C16" s="70" t="s">
        <v>413</v>
      </c>
      <c r="D16" s="71">
        <f>Wydatki!F7</f>
        <v>1400</v>
      </c>
      <c r="E16" s="115" t="s">
        <v>366</v>
      </c>
    </row>
    <row r="17" spans="1:6">
      <c r="A17" s="82" t="b">
        <v>0</v>
      </c>
      <c r="B17" s="82" t="b">
        <v>0</v>
      </c>
      <c r="C17" s="73" t="s">
        <v>369</v>
      </c>
      <c r="D17" s="71">
        <f>Wydatki!F8</f>
        <v>2000</v>
      </c>
      <c r="E17" s="115"/>
    </row>
    <row r="18" spans="1:6">
      <c r="A18" s="82" t="b">
        <v>0</v>
      </c>
      <c r="B18" s="82" t="b">
        <v>0</v>
      </c>
      <c r="C18" s="73" t="s">
        <v>370</v>
      </c>
      <c r="D18" s="71">
        <f>Wydatki!F9</f>
        <v>300</v>
      </c>
      <c r="E18" s="115"/>
    </row>
    <row r="19" spans="1:6">
      <c r="A19" s="82" t="b">
        <v>0</v>
      </c>
      <c r="B19" s="82" t="b">
        <v>0</v>
      </c>
      <c r="C19" s="73" t="s">
        <v>371</v>
      </c>
      <c r="D19" s="71">
        <f>Wydatki!F10</f>
        <v>3242.25</v>
      </c>
      <c r="E19" s="115"/>
    </row>
    <row r="20" spans="1:6">
      <c r="A20" s="82" t="b">
        <v>0</v>
      </c>
      <c r="B20" s="82" t="b">
        <v>0</v>
      </c>
      <c r="C20" s="73" t="s">
        <v>372</v>
      </c>
      <c r="D20" s="71">
        <f>Wydatki!F11</f>
        <v>840</v>
      </c>
      <c r="E20" s="115"/>
    </row>
    <row r="21" spans="1:6">
      <c r="A21" s="82" t="b">
        <v>1</v>
      </c>
      <c r="B21" s="82" t="b">
        <v>1</v>
      </c>
      <c r="C21" s="73" t="s">
        <v>373</v>
      </c>
      <c r="D21" s="71">
        <f>Wydatki!F12</f>
        <v>1800</v>
      </c>
      <c r="E21" s="115" t="s">
        <v>366</v>
      </c>
    </row>
    <row r="22" spans="1:6" ht="26.25">
      <c r="A22" s="83" t="b">
        <v>0</v>
      </c>
      <c r="B22" s="83" t="b">
        <v>0</v>
      </c>
      <c r="C22" s="104" t="s">
        <v>414</v>
      </c>
      <c r="D22" s="107">
        <f>Wydatki!F13</f>
        <v>2220</v>
      </c>
      <c r="E22" s="115"/>
    </row>
    <row r="23" spans="1:6" ht="18.75">
      <c r="C23" s="74" t="s">
        <v>376</v>
      </c>
      <c r="D23" s="75">
        <f>Wydatki!F14</f>
        <v>129812.25</v>
      </c>
    </row>
    <row r="26" spans="1:6">
      <c r="C26" s="66" t="s">
        <v>415</v>
      </c>
      <c r="D26" s="67"/>
    </row>
    <row r="27" spans="1:6" ht="16.5">
      <c r="C27" s="79" t="s">
        <v>416</v>
      </c>
      <c r="D27" s="78">
        <f>Podsumowanie!B19</f>
        <v>430</v>
      </c>
      <c r="E27" s="130">
        <f>SUM(D27:D28)</f>
        <v>700</v>
      </c>
    </row>
    <row r="28" spans="1:6" ht="16.5">
      <c r="C28" s="79" t="s">
        <v>417</v>
      </c>
      <c r="D28" s="78">
        <f>Podsumowanie!B20</f>
        <v>270</v>
      </c>
      <c r="E28" s="130"/>
    </row>
    <row r="30" spans="1:6">
      <c r="C30" s="116"/>
    </row>
    <row r="31" spans="1:6">
      <c r="C31" s="102" t="s">
        <v>418</v>
      </c>
      <c r="D31" s="67"/>
      <c r="E31" s="67"/>
      <c r="F31" s="67"/>
    </row>
    <row r="32" spans="1:6">
      <c r="C32" s="97" t="s">
        <v>2</v>
      </c>
      <c r="D32" s="97" t="s">
        <v>419</v>
      </c>
      <c r="E32" s="97" t="s">
        <v>420</v>
      </c>
      <c r="F32" s="97" t="s">
        <v>21</v>
      </c>
    </row>
    <row r="33" spans="3:6">
      <c r="C33" s="99" t="s">
        <v>179</v>
      </c>
      <c r="D33" s="95">
        <f>SUMIFS('Lista uczniów_składki'!U:U,'Lista uczniów_składki'!C:C,'Do wiadomości rodziców'!C33)</f>
        <v>22020</v>
      </c>
      <c r="E33" s="96">
        <f>SUMIFS('Lista uczniów_składki'!T:T,'Lista uczniów_składki'!C:C,'Do wiadomości rodziców'!C33)</f>
        <v>7350</v>
      </c>
      <c r="F33" s="91">
        <f>E33-D33</f>
        <v>-14670</v>
      </c>
    </row>
    <row r="34" spans="3:6">
      <c r="C34" s="100" t="s">
        <v>53</v>
      </c>
      <c r="D34" s="95">
        <f>SUMIFS('Lista uczniów_składki'!U:U,'Lista uczniów_składki'!C:C,'Do wiadomości rodziców'!C34)</f>
        <v>14640</v>
      </c>
      <c r="E34" s="96">
        <f>SUMIFS('Lista uczniów_składki'!T:T,'Lista uczniów_składki'!C:C,'Do wiadomości rodziców'!C34)</f>
        <v>5300</v>
      </c>
      <c r="F34" s="91">
        <f t="shared" ref="F34:F39" si="0">E34-D34</f>
        <v>-9340</v>
      </c>
    </row>
    <row r="35" spans="3:6">
      <c r="C35" s="101" t="s">
        <v>87</v>
      </c>
      <c r="D35" s="95">
        <f>SUMIFS('Lista uczniów_składki'!U:U,'Lista uczniów_składki'!C:C,'Do wiadomości rodziców'!C35)</f>
        <v>20180</v>
      </c>
      <c r="E35" s="96">
        <f>SUMIFS('Lista uczniów_składki'!T:T,'Lista uczniów_składki'!C:C,'Do wiadomości rodziców'!C35)</f>
        <v>10100</v>
      </c>
      <c r="F35" s="91">
        <f t="shared" si="0"/>
        <v>-10080</v>
      </c>
    </row>
    <row r="36" spans="3:6">
      <c r="C36" s="101" t="s">
        <v>188</v>
      </c>
      <c r="D36" s="95">
        <f>SUMIFS('Lista uczniów_składki'!U:U,'Lista uczniów_składki'!C:C,'Do wiadomości rodziców'!C36)</f>
        <v>21530</v>
      </c>
      <c r="E36" s="96">
        <f>SUMIFS('Lista uczniów_składki'!T:T,'Lista uczniów_składki'!C:C,'Do wiadomości rodziców'!C36)</f>
        <v>9050</v>
      </c>
      <c r="F36" s="91">
        <f t="shared" si="0"/>
        <v>-12480</v>
      </c>
    </row>
    <row r="37" spans="3:6">
      <c r="C37" s="101" t="s">
        <v>32</v>
      </c>
      <c r="D37" s="95">
        <f>SUMIFS('Lista uczniów_składki'!U:U,'Lista uczniów_składki'!C:C,'Do wiadomości rodziców'!C37)</f>
        <v>18830</v>
      </c>
      <c r="E37" s="96">
        <f>SUMIFS('Lista uczniów_składki'!T:T,'Lista uczniów_składki'!C:C,'Do wiadomości rodziców'!C37)</f>
        <v>10100</v>
      </c>
      <c r="F37" s="91">
        <f t="shared" si="0"/>
        <v>-8730</v>
      </c>
    </row>
    <row r="38" spans="3:6">
      <c r="C38" s="101" t="s">
        <v>26</v>
      </c>
      <c r="D38" s="95">
        <f>SUMIFS('Lista uczniów_składki'!U:U,'Lista uczniów_składki'!C:C,'Do wiadomości rodziców'!C38)</f>
        <v>20830</v>
      </c>
      <c r="E38" s="96">
        <f>SUMIFS('Lista uczniów_składki'!T:T,'Lista uczniów_składki'!C:C,'Do wiadomości rodziców'!C38)</f>
        <v>1700</v>
      </c>
      <c r="F38" s="91">
        <f t="shared" si="0"/>
        <v>-19130</v>
      </c>
    </row>
    <row r="39" spans="3:6">
      <c r="C39" s="101" t="s">
        <v>113</v>
      </c>
      <c r="D39" s="95">
        <f>SUMIFS('Lista uczniów_składki'!U:U,'Lista uczniów_składki'!C:C,'Do wiadomości rodziców'!C39)</f>
        <v>15500</v>
      </c>
      <c r="E39" s="96">
        <f>SUMIFS('Lista uczniów_składki'!T:T,'Lista uczniów_składki'!C:C,'Do wiadomości rodziców'!C39)</f>
        <v>1450</v>
      </c>
      <c r="F39" s="98">
        <f t="shared" si="0"/>
        <v>-14050</v>
      </c>
    </row>
    <row r="40" spans="3:6">
      <c r="C40" s="103" t="s">
        <v>376</v>
      </c>
      <c r="D40" s="121">
        <f>SUBTOTAL(109,D33:D39)</f>
        <v>133530</v>
      </c>
      <c r="E40" s="121">
        <f>SUBTOTAL(109,E33:E39)</f>
        <v>45050</v>
      </c>
      <c r="F40" s="121">
        <f>SUBTOTAL(109,Table5[Delta])</f>
        <v>-88480</v>
      </c>
    </row>
    <row r="41" spans="3:6">
      <c r="C41" s="80"/>
      <c r="D41" s="80"/>
      <c r="E41" s="80"/>
      <c r="F41" s="80"/>
    </row>
    <row r="42" spans="3:6">
      <c r="C42" s="77"/>
      <c r="D42" s="77"/>
      <c r="E42" s="77"/>
      <c r="F42" s="77"/>
    </row>
    <row r="44" spans="3:6">
      <c r="C44" s="133" t="s">
        <v>421</v>
      </c>
      <c r="D44" s="133"/>
      <c r="E44" s="133"/>
      <c r="F44" s="120">
        <f>SUM(F46:F52)</f>
        <v>14420</v>
      </c>
    </row>
    <row r="45" spans="3:6">
      <c r="C45" s="118" t="s">
        <v>422</v>
      </c>
      <c r="D45" s="119" t="s">
        <v>423</v>
      </c>
      <c r="E45" s="119" t="s">
        <v>424</v>
      </c>
      <c r="F45" s="119" t="s">
        <v>425</v>
      </c>
    </row>
    <row r="46" spans="3:6">
      <c r="C46" s="123" t="s">
        <v>426</v>
      </c>
      <c r="D46" s="71">
        <v>5750</v>
      </c>
      <c r="E46" s="71">
        <v>-4000</v>
      </c>
      <c r="F46" s="71">
        <f>SUM(D46:E46)</f>
        <v>1750</v>
      </c>
    </row>
    <row r="47" spans="3:6">
      <c r="C47" s="123" t="s">
        <v>427</v>
      </c>
      <c r="D47" s="71">
        <v>7350</v>
      </c>
      <c r="E47" s="71">
        <v>-680</v>
      </c>
      <c r="F47" s="71">
        <f>SUM(D47:E47)</f>
        <v>6670</v>
      </c>
    </row>
    <row r="48" spans="3:6">
      <c r="C48" s="123" t="s">
        <v>428</v>
      </c>
      <c r="D48" s="71">
        <v>6000</v>
      </c>
      <c r="E48" s="71">
        <v>0</v>
      </c>
      <c r="F48" s="71">
        <f>SUM(D48:E48)</f>
        <v>6000</v>
      </c>
    </row>
    <row r="49" spans="4:6">
      <c r="D49" s="71"/>
      <c r="E49" s="71"/>
      <c r="F49" s="71"/>
    </row>
    <row r="50" spans="4:6">
      <c r="D50" s="71"/>
      <c r="E50" s="71"/>
      <c r="F50" s="71"/>
    </row>
    <row r="51" spans="4:6">
      <c r="D51" s="71"/>
      <c r="E51" s="71"/>
      <c r="F51" s="71"/>
    </row>
  </sheetData>
  <mergeCells count="4">
    <mergeCell ref="E27:E28"/>
    <mergeCell ref="A9:A11"/>
    <mergeCell ref="B9:B11"/>
    <mergeCell ref="C44:E44"/>
  </mergeCells>
  <conditionalFormatting sqref="A12:B22">
    <cfRule type="containsText" dxfId="41" priority="1" operator="containsText" text="FAŁSZ">
      <formula>NOT(ISERROR(SEARCH("FAŁSZ",A12)))</formula>
    </cfRule>
    <cfRule type="containsText" dxfId="40" priority="2" operator="containsText" text="PRAWDA">
      <formula>NOT(ISERROR(SEARCH("PRAWDA",A12)))</formula>
    </cfRule>
  </conditionalFormatting>
  <conditionalFormatting sqref="F33:F39">
    <cfRule type="cellIs" dxfId="39" priority="3" operator="equal">
      <formula>0</formula>
    </cfRule>
    <cfRule type="cellIs" dxfId="38" priority="4" operator="lessThan">
      <formula>0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EACC5-CE8D-41C2-A817-9575DF4970B6}">
  <dimension ref="A1:D20"/>
  <sheetViews>
    <sheetView showGridLines="0" workbookViewId="0">
      <selection activeCell="J49" sqref="J49"/>
    </sheetView>
  </sheetViews>
  <sheetFormatPr defaultColWidth="9.140625" defaultRowHeight="15"/>
  <cols>
    <col min="1" max="1" width="47.7109375" style="2" customWidth="1"/>
    <col min="2" max="2" width="18.140625" style="2" customWidth="1"/>
    <col min="3" max="3" width="20" style="2" customWidth="1"/>
    <col min="4" max="4" width="28" style="2" customWidth="1"/>
    <col min="5" max="16384" width="9.140625" style="2"/>
  </cols>
  <sheetData>
    <row r="1" spans="1:4">
      <c r="A1" s="2" t="s">
        <v>429</v>
      </c>
      <c r="B1" s="2" t="s">
        <v>430</v>
      </c>
      <c r="C1" s="2" t="s">
        <v>431</v>
      </c>
      <c r="D1" s="2" t="s">
        <v>432</v>
      </c>
    </row>
    <row r="2" spans="1:4">
      <c r="A2" s="2" t="s">
        <v>433</v>
      </c>
      <c r="B2" s="114">
        <v>46275</v>
      </c>
      <c r="C2" s="2" t="s">
        <v>434</v>
      </c>
      <c r="D2" s="43" t="b">
        <v>1</v>
      </c>
    </row>
    <row r="3" spans="1:4">
      <c r="A3" s="2" t="s">
        <v>435</v>
      </c>
      <c r="B3" s="114">
        <v>46401</v>
      </c>
      <c r="C3" s="2" t="s">
        <v>426</v>
      </c>
      <c r="D3" s="43" t="b">
        <v>0</v>
      </c>
    </row>
    <row r="4" spans="1:4">
      <c r="A4" s="2" t="s">
        <v>436</v>
      </c>
      <c r="B4" s="114">
        <v>46395</v>
      </c>
      <c r="C4" s="2" t="s">
        <v>426</v>
      </c>
      <c r="D4" s="43" t="b">
        <v>0</v>
      </c>
    </row>
    <row r="5" spans="1:4">
      <c r="A5" s="2" t="s">
        <v>437</v>
      </c>
      <c r="B5" s="114">
        <v>46254</v>
      </c>
      <c r="C5" s="2" t="s">
        <v>426</v>
      </c>
      <c r="D5" s="43" t="b">
        <v>0</v>
      </c>
    </row>
    <row r="6" spans="1:4">
      <c r="A6" s="2" t="s">
        <v>438</v>
      </c>
      <c r="B6" s="114">
        <v>46412</v>
      </c>
      <c r="C6" s="2" t="s">
        <v>439</v>
      </c>
      <c r="D6" s="43" t="b">
        <v>0</v>
      </c>
    </row>
    <row r="7" spans="1:4">
      <c r="A7" s="2" t="s">
        <v>440</v>
      </c>
      <c r="B7" s="114">
        <v>46185</v>
      </c>
      <c r="C7" s="2" t="s">
        <v>426</v>
      </c>
      <c r="D7" s="43" t="b">
        <v>1</v>
      </c>
    </row>
    <row r="8" spans="1:4">
      <c r="A8" s="2" t="s">
        <v>441</v>
      </c>
      <c r="B8" s="114">
        <v>46192</v>
      </c>
      <c r="C8" s="2" t="s">
        <v>426</v>
      </c>
      <c r="D8" s="43" t="b">
        <v>1</v>
      </c>
    </row>
    <row r="9" spans="1:4">
      <c r="A9" s="2" t="s">
        <v>442</v>
      </c>
      <c r="B9" s="114">
        <v>46192</v>
      </c>
      <c r="C9" s="2" t="s">
        <v>443</v>
      </c>
      <c r="D9" s="43" t="b">
        <v>0</v>
      </c>
    </row>
    <row r="10" spans="1:4">
      <c r="A10" s="2" t="s">
        <v>444</v>
      </c>
      <c r="B10" s="114">
        <v>46267</v>
      </c>
      <c r="C10" s="2" t="s">
        <v>443</v>
      </c>
      <c r="D10" s="43" t="b">
        <v>0</v>
      </c>
    </row>
    <row r="11" spans="1:4">
      <c r="A11" s="2" t="s">
        <v>445</v>
      </c>
      <c r="B11" s="114">
        <v>46356</v>
      </c>
      <c r="C11" s="2" t="s">
        <v>446</v>
      </c>
      <c r="D11" s="43" t="b">
        <v>0</v>
      </c>
    </row>
    <row r="12" spans="1:4">
      <c r="B12" s="114"/>
      <c r="D12" s="43" t="b">
        <v>0</v>
      </c>
    </row>
    <row r="13" spans="1:4">
      <c r="B13" s="114"/>
      <c r="D13" s="43" t="b">
        <v>0</v>
      </c>
    </row>
    <row r="14" spans="1:4">
      <c r="B14" s="114"/>
      <c r="D14" s="43" t="b">
        <v>0</v>
      </c>
    </row>
    <row r="15" spans="1:4">
      <c r="B15" s="114"/>
      <c r="D15" s="43" t="b">
        <v>0</v>
      </c>
    </row>
    <row r="16" spans="1:4">
      <c r="B16" s="114"/>
      <c r="D16" s="43" t="b">
        <v>0</v>
      </c>
    </row>
    <row r="17" spans="2:4">
      <c r="B17" s="114"/>
      <c r="D17" s="43" t="b">
        <v>0</v>
      </c>
    </row>
    <row r="18" spans="2:4">
      <c r="B18" s="114"/>
      <c r="D18" s="43" t="b">
        <v>0</v>
      </c>
    </row>
    <row r="19" spans="2:4">
      <c r="B19" s="114"/>
      <c r="D19" s="43" t="b">
        <v>0</v>
      </c>
    </row>
    <row r="20" spans="2:4">
      <c r="B20" s="114"/>
      <c r="D20" s="43" t="b">
        <v>0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0623C-A02B-45BC-8CCB-535472D2A61A}">
  <dimension ref="B3:D4"/>
  <sheetViews>
    <sheetView workbookViewId="0">
      <selection activeCell="E3" sqref="E3"/>
    </sheetView>
  </sheetViews>
  <sheetFormatPr defaultRowHeight="15"/>
  <cols>
    <col min="2" max="2" width="15" bestFit="1" customWidth="1"/>
    <col min="4" max="4" width="21" bestFit="1" customWidth="1"/>
  </cols>
  <sheetData>
    <row r="3" spans="2:4">
      <c r="B3" t="s">
        <v>447</v>
      </c>
      <c r="C3">
        <v>5750</v>
      </c>
      <c r="D3" t="s">
        <v>448</v>
      </c>
    </row>
    <row r="4" spans="2:4">
      <c r="B4" t="s">
        <v>449</v>
      </c>
      <c r="C4">
        <v>500</v>
      </c>
      <c r="D4" t="s">
        <v>450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683D51-3249-402D-BC5B-49663797B112}">
  <dimension ref="A5:AO18"/>
  <sheetViews>
    <sheetView workbookViewId="0">
      <selection activeCell="O56" sqref="O56"/>
    </sheetView>
  </sheetViews>
  <sheetFormatPr defaultRowHeight="15"/>
  <cols>
    <col min="1" max="1" width="26" bestFit="1" customWidth="1"/>
    <col min="2" max="2" width="12.42578125" bestFit="1" customWidth="1"/>
    <col min="9" max="9" width="24.85546875" bestFit="1" customWidth="1"/>
    <col min="10" max="10" width="12.85546875" bestFit="1" customWidth="1"/>
    <col min="11" max="11" width="20.28515625" bestFit="1" customWidth="1"/>
    <col min="12" max="12" width="17.42578125" bestFit="1" customWidth="1"/>
    <col min="13" max="13" width="12.85546875" bestFit="1" customWidth="1"/>
    <col min="17" max="17" width="13.85546875" bestFit="1" customWidth="1"/>
    <col min="18" max="18" width="12.7109375" bestFit="1" customWidth="1"/>
    <col min="19" max="19" width="14" bestFit="1" customWidth="1"/>
    <col min="24" max="24" width="39" bestFit="1" customWidth="1"/>
    <col min="25" max="25" width="12.42578125" bestFit="1" customWidth="1"/>
    <col min="29" max="29" width="76.140625" bestFit="1" customWidth="1"/>
    <col min="30" max="30" width="13.85546875" bestFit="1" customWidth="1"/>
    <col min="31" max="31" width="11.5703125" bestFit="1" customWidth="1"/>
    <col min="32" max="32" width="13.85546875" bestFit="1" customWidth="1"/>
    <col min="33" max="33" width="30.42578125" bestFit="1" customWidth="1"/>
    <col min="41" max="41" width="17.28515625" bestFit="1" customWidth="1"/>
  </cols>
  <sheetData>
    <row r="5" spans="1:41">
      <c r="AC5" t="s">
        <v>451</v>
      </c>
    </row>
    <row r="6" spans="1:41">
      <c r="AC6" t="s">
        <v>354</v>
      </c>
      <c r="AD6" t="s">
        <v>359</v>
      </c>
      <c r="AE6" t="s">
        <v>360</v>
      </c>
      <c r="AF6" t="s">
        <v>361</v>
      </c>
      <c r="AG6" t="s">
        <v>23</v>
      </c>
      <c r="AN6" t="s">
        <v>377</v>
      </c>
      <c r="AO6" t="s">
        <v>400</v>
      </c>
    </row>
    <row r="7" spans="1:41">
      <c r="A7" t="s">
        <v>452</v>
      </c>
      <c r="B7" t="s">
        <v>453</v>
      </c>
      <c r="H7" t="s">
        <v>377</v>
      </c>
      <c r="I7" t="s">
        <v>378</v>
      </c>
      <c r="J7" t="s">
        <v>379</v>
      </c>
      <c r="K7" t="s">
        <v>385</v>
      </c>
      <c r="L7" t="s">
        <v>386</v>
      </c>
      <c r="M7" t="s">
        <v>21</v>
      </c>
      <c r="P7" t="str">
        <f>'Do wiadomości rodziców'!C31</f>
        <v>Składki_status per klasa:</v>
      </c>
      <c r="AC7" t="str">
        <f>Wydatki!A3</f>
        <v>Sala  uczniowie(PortoFine)</v>
      </c>
      <c r="AD7" s="91">
        <f>Wydatki!F3</f>
        <v>98010</v>
      </c>
      <c r="AE7" s="91">
        <f>Wydatki!G3</f>
        <v>2000</v>
      </c>
      <c r="AF7" s="91">
        <f>Wydatki!H3</f>
        <v>96010</v>
      </c>
      <c r="AG7" t="str">
        <f>Wydatki!I3</f>
        <v>Zaliczka Michał Krzyszkowski</v>
      </c>
      <c r="AN7" t="str">
        <f>Podsumowanie!A27</f>
        <v>3A</v>
      </c>
      <c r="AO7" s="91">
        <f>Podsumowanie!B27</f>
        <v>649.13095238095241</v>
      </c>
    </row>
    <row r="8" spans="1:41">
      <c r="A8" t="str">
        <f>Podsumowanie!A19</f>
        <v>Składka na ucznia</v>
      </c>
      <c r="B8" s="91">
        <f>Podsumowanie!B19</f>
        <v>430</v>
      </c>
      <c r="H8" t="str">
        <f>Podsumowanie!A2</f>
        <v>3A</v>
      </c>
      <c r="I8">
        <f>Podsumowanie!B2</f>
        <v>33</v>
      </c>
      <c r="J8">
        <f>Podsumowanie!C2</f>
        <v>29</v>
      </c>
      <c r="K8" s="91">
        <f>Podsumowanie!J2</f>
        <v>22020</v>
      </c>
      <c r="L8" s="91">
        <f>Podsumowanie!K2</f>
        <v>7350</v>
      </c>
      <c r="M8" s="91">
        <f>Podsumowanie!L2</f>
        <v>-14670</v>
      </c>
      <c r="P8" t="s">
        <v>2</v>
      </c>
      <c r="Q8" t="s">
        <v>419</v>
      </c>
      <c r="R8" t="s">
        <v>420</v>
      </c>
      <c r="S8" t="s">
        <v>21</v>
      </c>
      <c r="X8" t="s">
        <v>454</v>
      </c>
      <c r="Y8" t="s">
        <v>455</v>
      </c>
      <c r="AC8" t="str">
        <f>Wydatki!A4</f>
        <v>Goście/pedagodzy/obsługa (PortoFine_na każde 100 osoób 10 jest za darmo na sali)</v>
      </c>
      <c r="AD8" s="91">
        <f>Wydatki!F4</f>
        <v>0</v>
      </c>
      <c r="AE8" s="91">
        <f>Wydatki!G4</f>
        <v>0</v>
      </c>
      <c r="AF8" s="91">
        <f>Wydatki!H4</f>
        <v>0</v>
      </c>
      <c r="AG8">
        <f>Wydatki!I4</f>
        <v>0</v>
      </c>
      <c r="AN8" t="str">
        <f>Podsumowanie!A28</f>
        <v>3B</v>
      </c>
      <c r="AO8" s="91">
        <f>Podsumowanie!B28</f>
        <v>472.09523809523807</v>
      </c>
    </row>
    <row r="9" spans="1:41">
      <c r="A9" t="str">
        <f>Podsumowanie!A20</f>
        <v>Składka osoba towarzysząca</v>
      </c>
      <c r="B9" s="91">
        <f>Podsumowanie!B20</f>
        <v>270</v>
      </c>
      <c r="H9" t="str">
        <f>Podsumowanie!A3</f>
        <v>3B</v>
      </c>
      <c r="I9">
        <f>Podsumowanie!B3</f>
        <v>24</v>
      </c>
      <c r="J9">
        <f>Podsumowanie!C3</f>
        <v>16</v>
      </c>
      <c r="K9" s="91">
        <f>Podsumowanie!J3</f>
        <v>14640</v>
      </c>
      <c r="L9" s="91">
        <f>Podsumowanie!K3</f>
        <v>5300</v>
      </c>
      <c r="M9" s="91">
        <f>Podsumowanie!L3</f>
        <v>-9340</v>
      </c>
      <c r="P9" t="str">
        <f>'Do wiadomości rodziców'!C33</f>
        <v>3A</v>
      </c>
      <c r="Q9" s="91">
        <f>'Do wiadomości rodziców'!D33</f>
        <v>22020</v>
      </c>
      <c r="R9" s="91">
        <f>'Do wiadomości rodziców'!E33</f>
        <v>7350</v>
      </c>
      <c r="S9" s="91">
        <f>'Do wiadomości rodziców'!F33</f>
        <v>-14670</v>
      </c>
      <c r="X9" t="str">
        <f>'Do wiadomości rodziców'!C6</f>
        <v>Ilość osób, które idę na studniówkę</v>
      </c>
      <c r="Y9">
        <f>'Do wiadomości rodziców'!D6</f>
        <v>222</v>
      </c>
      <c r="AC9" t="str">
        <f>Wydatki!A5</f>
        <v>DJ (Best Party Grupa Eventowa)</v>
      </c>
      <c r="AD9" s="91">
        <f>Wydatki!F5</f>
        <v>8000</v>
      </c>
      <c r="AE9" s="91">
        <f>Wydatki!G5</f>
        <v>400</v>
      </c>
      <c r="AF9" s="91">
        <f>Wydatki!H5</f>
        <v>7600</v>
      </c>
      <c r="AG9" t="str">
        <f>Wydatki!I5</f>
        <v>Zaliczka Aneta Kanafa</v>
      </c>
      <c r="AN9" t="str">
        <f>Podsumowanie!A29</f>
        <v>3C</v>
      </c>
      <c r="AO9" s="91">
        <f>Podsumowanie!B29</f>
        <v>688.47222222222229</v>
      </c>
    </row>
    <row r="10" spans="1:41">
      <c r="H10" t="str">
        <f>Podsumowanie!A4</f>
        <v>3C</v>
      </c>
      <c r="I10">
        <f>Podsumowanie!B4</f>
        <v>35</v>
      </c>
      <c r="J10">
        <f>Podsumowanie!C4</f>
        <v>19</v>
      </c>
      <c r="K10" s="91">
        <f>Podsumowanie!J4</f>
        <v>20180</v>
      </c>
      <c r="L10" s="91">
        <f>Podsumowanie!K4</f>
        <v>10100</v>
      </c>
      <c r="M10" s="91">
        <f>Podsumowanie!L4</f>
        <v>-10080</v>
      </c>
      <c r="P10" t="str">
        <f>'Do wiadomości rodziców'!C34</f>
        <v>3B</v>
      </c>
      <c r="Q10" s="91">
        <f>'Do wiadomości rodziców'!D34</f>
        <v>14640</v>
      </c>
      <c r="R10" s="91">
        <f>'Do wiadomości rodziców'!E34</f>
        <v>5300</v>
      </c>
      <c r="S10" s="91">
        <f>'Do wiadomości rodziców'!F34</f>
        <v>-9340</v>
      </c>
      <c r="X10" t="str">
        <f>'Do wiadomości rodziców'!C7</f>
        <v>Ilość osób towarzyszących</v>
      </c>
      <c r="Y10">
        <f>'Do wiadomości rodziców'!D7</f>
        <v>141</v>
      </c>
      <c r="AC10" t="str">
        <f>Wydatki!A6</f>
        <v>Fotograf(FVB)</v>
      </c>
      <c r="AD10" s="91">
        <f>Wydatki!F6</f>
        <v>12000</v>
      </c>
      <c r="AE10" s="91">
        <f>Wydatki!G6</f>
        <v>2000</v>
      </c>
      <c r="AF10" s="91">
        <f>Wydatki!H6</f>
        <v>10000</v>
      </c>
      <c r="AG10" t="str">
        <f>Wydatki!I6</f>
        <v>Zaliczka Michał Krzyszkowski</v>
      </c>
      <c r="AN10" t="str">
        <f>Podsumowanie!A30</f>
        <v>3D</v>
      </c>
      <c r="AO10" s="91">
        <f>Podsumowanie!B30</f>
        <v>688.47222222222229</v>
      </c>
    </row>
    <row r="11" spans="1:41">
      <c r="H11" t="str">
        <f>Podsumowanie!A5</f>
        <v>3D</v>
      </c>
      <c r="I11">
        <f>Podsumowanie!B5</f>
        <v>35</v>
      </c>
      <c r="J11">
        <f>Podsumowanie!C5</f>
        <v>24</v>
      </c>
      <c r="K11" s="91">
        <f>Podsumowanie!J5</f>
        <v>21530</v>
      </c>
      <c r="L11" s="91">
        <f>Podsumowanie!K5</f>
        <v>9050</v>
      </c>
      <c r="M11" s="91">
        <f>Podsumowanie!L5</f>
        <v>-12480</v>
      </c>
      <c r="P11" t="str">
        <f>'Do wiadomości rodziców'!C35</f>
        <v>3C</v>
      </c>
      <c r="Q11" s="91">
        <f>'Do wiadomości rodziców'!D35</f>
        <v>20180</v>
      </c>
      <c r="R11" s="91">
        <f>'Do wiadomości rodziców'!E35</f>
        <v>10100</v>
      </c>
      <c r="S11" s="91">
        <f>'Do wiadomości rodziców'!F35</f>
        <v>-10080</v>
      </c>
      <c r="X11" t="str">
        <f>'Do wiadomości rodziców'!C9</f>
        <v>Ilość osób 3-cich (DJ, Foto, Goście,Rodzice)</v>
      </c>
      <c r="Y11">
        <f>'Do wiadomości rodziców'!D9</f>
        <v>30</v>
      </c>
      <c r="AC11" t="str">
        <f>Wydatki!A7</f>
        <v>Ścianka(Anna Muskała)</v>
      </c>
      <c r="AD11" s="91">
        <f>Wydatki!F7</f>
        <v>1400</v>
      </c>
      <c r="AE11" s="91">
        <f>Wydatki!G7</f>
        <v>100</v>
      </c>
      <c r="AF11" s="91">
        <f>Wydatki!H7</f>
        <v>1300</v>
      </c>
      <c r="AG11" t="str">
        <f>Wydatki!I7</f>
        <v>Zaliczka Aneta Kanafa</v>
      </c>
      <c r="AN11" t="str">
        <f>Podsumowanie!A31</f>
        <v>3D1</v>
      </c>
      <c r="AO11" s="91">
        <f>Podsumowanie!B31</f>
        <v>688.47222222222229</v>
      </c>
    </row>
    <row r="12" spans="1:41">
      <c r="H12" t="str">
        <f>Podsumowanie!A6</f>
        <v>3D1</v>
      </c>
      <c r="I12">
        <f>Podsumowanie!B6</f>
        <v>35</v>
      </c>
      <c r="J12">
        <f>Podsumowanie!C6</f>
        <v>14</v>
      </c>
      <c r="K12" s="91">
        <f>Podsumowanie!J6</f>
        <v>18830</v>
      </c>
      <c r="L12" s="91">
        <f>Podsumowanie!K6</f>
        <v>10100</v>
      </c>
      <c r="M12" s="91">
        <f>Podsumowanie!L6</f>
        <v>-8730</v>
      </c>
      <c r="P12" t="str">
        <f>'Do wiadomości rodziców'!C36</f>
        <v>3D</v>
      </c>
      <c r="Q12" s="91">
        <f>'Do wiadomości rodziców'!D36</f>
        <v>21530</v>
      </c>
      <c r="R12" s="91">
        <f>'Do wiadomości rodziców'!E36</f>
        <v>9050</v>
      </c>
      <c r="S12" s="91">
        <f>'Do wiadomości rodziców'!F36</f>
        <v>-12480</v>
      </c>
      <c r="AC12" t="str">
        <f>Wydatki!A8</f>
        <v>Opieka karetki</v>
      </c>
      <c r="AD12" s="91">
        <f>Wydatki!F8</f>
        <v>2000</v>
      </c>
      <c r="AE12" s="91">
        <f>Wydatki!G8</f>
        <v>0</v>
      </c>
      <c r="AF12" s="91">
        <f>Wydatki!H8</f>
        <v>2000</v>
      </c>
      <c r="AG12">
        <f>Wydatki!I8</f>
        <v>0</v>
      </c>
      <c r="AN12" t="str">
        <f>Podsumowanie!A32</f>
        <v>3E</v>
      </c>
      <c r="AO12" s="91">
        <f>Podsumowanie!B32</f>
        <v>668.80158730158735</v>
      </c>
    </row>
    <row r="13" spans="1:41">
      <c r="H13" t="str">
        <f>Podsumowanie!A7</f>
        <v>3E</v>
      </c>
      <c r="I13">
        <f>Podsumowanie!B7</f>
        <v>34</v>
      </c>
      <c r="J13">
        <f>Podsumowanie!C7</f>
        <v>23</v>
      </c>
      <c r="K13" s="91">
        <f>Podsumowanie!J7</f>
        <v>20830</v>
      </c>
      <c r="L13" s="91">
        <f>Podsumowanie!K7</f>
        <v>1700</v>
      </c>
      <c r="M13" s="91">
        <f>Podsumowanie!L7</f>
        <v>-19130</v>
      </c>
      <c r="P13" t="str">
        <f>'Do wiadomości rodziców'!C37</f>
        <v>3D1</v>
      </c>
      <c r="Q13" s="91">
        <f>'Do wiadomości rodziców'!D37</f>
        <v>18830</v>
      </c>
      <c r="R13" s="91">
        <f>'Do wiadomości rodziców'!E37</f>
        <v>10100</v>
      </c>
      <c r="S13" s="91">
        <f>'Do wiadomości rodziców'!F37</f>
        <v>-8730</v>
      </c>
      <c r="AC13" t="str">
        <f>Wydatki!A9</f>
        <v>Ubezpieczenie</v>
      </c>
      <c r="AD13" s="91">
        <f>Wydatki!F9</f>
        <v>300</v>
      </c>
      <c r="AE13" s="91">
        <f>Wydatki!G9</f>
        <v>0</v>
      </c>
      <c r="AF13" s="91">
        <f>Wydatki!H9</f>
        <v>300</v>
      </c>
      <c r="AG13">
        <f>Wydatki!I9</f>
        <v>0</v>
      </c>
      <c r="AN13" t="str">
        <f>Podsumowanie!A33</f>
        <v>3F</v>
      </c>
      <c r="AO13" s="91">
        <f>Podsumowanie!B33</f>
        <v>511.43650793650795</v>
      </c>
    </row>
    <row r="14" spans="1:41">
      <c r="H14" t="str">
        <f>Podsumowanie!A8</f>
        <v>3F</v>
      </c>
      <c r="I14">
        <f>Podsumowanie!B8</f>
        <v>26</v>
      </c>
      <c r="J14">
        <f>Podsumowanie!C8</f>
        <v>16</v>
      </c>
      <c r="K14" s="91">
        <f>Podsumowanie!J8</f>
        <v>15500</v>
      </c>
      <c r="L14" s="91">
        <f>Podsumowanie!K8</f>
        <v>1450</v>
      </c>
      <c r="M14" s="91">
        <f>Podsumowanie!L8</f>
        <v>-14050</v>
      </c>
      <c r="P14" t="str">
        <f>'Do wiadomości rodziców'!C38</f>
        <v>3E</v>
      </c>
      <c r="Q14" s="91">
        <f>'Do wiadomości rodziców'!D38</f>
        <v>20830</v>
      </c>
      <c r="R14" s="91">
        <f>'Do wiadomości rodziców'!E38</f>
        <v>1700</v>
      </c>
      <c r="S14" s="91">
        <f>'Do wiadomości rodziców'!F38</f>
        <v>-19130</v>
      </c>
      <c r="AC14" t="str">
        <f>Wydatki!A10</f>
        <v>Napoje gazowane [l] -&gt;1,1l/os</v>
      </c>
      <c r="AD14" s="91">
        <f>Wydatki!F10</f>
        <v>3242.25</v>
      </c>
      <c r="AE14" s="91">
        <f>Wydatki!G10</f>
        <v>0</v>
      </c>
      <c r="AF14" s="91">
        <f>Wydatki!H10</f>
        <v>3242.25</v>
      </c>
      <c r="AG14">
        <f>Wydatki!I10</f>
        <v>0</v>
      </c>
    </row>
    <row r="15" spans="1:41">
      <c r="P15" t="str">
        <f>'Do wiadomości rodziców'!C39</f>
        <v>3F</v>
      </c>
      <c r="Q15" s="91">
        <f>'Do wiadomości rodziców'!D39</f>
        <v>15500</v>
      </c>
      <c r="R15" s="91">
        <f>'Do wiadomości rodziców'!E39</f>
        <v>1450</v>
      </c>
      <c r="S15" s="91">
        <f>'Do wiadomości rodziców'!F39</f>
        <v>-14050</v>
      </c>
      <c r="AC15" t="str">
        <f>Wydatki!A11</f>
        <v>Kwiaty dla Nauczycieli</v>
      </c>
      <c r="AD15" s="91">
        <f>Wydatki!F11</f>
        <v>840</v>
      </c>
      <c r="AE15" s="91">
        <f>Wydatki!G11</f>
        <v>0</v>
      </c>
      <c r="AF15" s="91">
        <f>Wydatki!H11</f>
        <v>840</v>
      </c>
      <c r="AG15">
        <f>Wydatki!I11</f>
        <v>0</v>
      </c>
    </row>
    <row r="16" spans="1:41">
      <c r="P16" t="str">
        <f>'Do wiadomości rodziców'!C40</f>
        <v>Total</v>
      </c>
      <c r="Q16" s="91">
        <f>'Do wiadomości rodziców'!D40</f>
        <v>133530</v>
      </c>
      <c r="R16" s="91">
        <f>'Do wiadomości rodziców'!E40</f>
        <v>45050</v>
      </c>
      <c r="S16" s="91">
        <f>'Do wiadomości rodziców'!F40</f>
        <v>-88480</v>
      </c>
      <c r="AC16" t="str">
        <f>Wydatki!A12</f>
        <v>Polonez_nauka [h] (Verto)</v>
      </c>
      <c r="AD16" s="91">
        <f>Wydatki!F12</f>
        <v>1800</v>
      </c>
      <c r="AE16" s="91">
        <f>Wydatki!G12</f>
        <v>180</v>
      </c>
      <c r="AF16" s="91">
        <f>Wydatki!H12</f>
        <v>1620</v>
      </c>
      <c r="AG16" t="str">
        <f>Wydatki!I12</f>
        <v>Zaliczka Aneta Kanafa</v>
      </c>
    </row>
    <row r="17" spans="29:33">
      <c r="AC17" t="str">
        <f>Wydatki!A13</f>
        <v>Koszty dodatkowe</v>
      </c>
      <c r="AD17" s="91">
        <f>Wydatki!F13</f>
        <v>2220</v>
      </c>
      <c r="AE17" s="91">
        <f>Wydatki!G13</f>
        <v>75.849999999999994</v>
      </c>
      <c r="AF17" s="91">
        <f>Wydatki!H13</f>
        <v>2144.15</v>
      </c>
      <c r="AG17" t="str">
        <f>Wydatki!I13</f>
        <v>zakup Kasetki na pieniądze 75.85 (zapłacone)-&gt; Zaiks i inne 1100 zł(do opłacenia)</v>
      </c>
    </row>
    <row r="18" spans="29:33">
      <c r="AD18" s="91">
        <f>Wydatki!F14</f>
        <v>129812.25</v>
      </c>
      <c r="AE18" s="91">
        <f>Wydatki!G14</f>
        <v>4755.8500000000004</v>
      </c>
      <c r="AF18" s="91">
        <f>Wydatki!H14</f>
        <v>125056.4</v>
      </c>
    </row>
  </sheetData>
  <pageMargins left="0.7" right="0.7" top="0.75" bottom="0.75" header="0.3" footer="0.3"/>
  <tableParts count="6">
    <tablePart r:id="rId1"/>
    <tablePart r:id="rId2"/>
    <tablePart r:id="rId3"/>
    <tablePart r:id="rId4"/>
    <tablePart r:id="rId5"/>
    <tablePart r:id="rId6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936F2-E3A6-406E-9341-D29A69F6583E}">
  <dimension ref="A1:M277"/>
  <sheetViews>
    <sheetView topLeftCell="A193" workbookViewId="0">
      <selection activeCell="L244" sqref="L244"/>
    </sheetView>
  </sheetViews>
  <sheetFormatPr defaultColWidth="9.140625" defaultRowHeight="15"/>
  <cols>
    <col min="1" max="1" width="5" style="1" bestFit="1" customWidth="1"/>
    <col min="2" max="9" width="19" style="1" customWidth="1"/>
    <col min="10" max="12" width="9.140625" style="1"/>
    <col min="13" max="13" width="24.5703125" style="1" bestFit="1" customWidth="1"/>
    <col min="14" max="16384" width="9.140625" style="1"/>
  </cols>
  <sheetData>
    <row r="1" spans="1:13" s="2" customFormat="1" ht="65.25" customHeight="1">
      <c r="A1" s="55" t="s">
        <v>456</v>
      </c>
      <c r="B1" s="86" t="s">
        <v>457</v>
      </c>
      <c r="C1" s="86" t="s">
        <v>458</v>
      </c>
      <c r="D1" s="55" t="s">
        <v>459</v>
      </c>
      <c r="E1" s="55" t="s">
        <v>1</v>
      </c>
      <c r="F1" s="55" t="s">
        <v>0</v>
      </c>
      <c r="G1" s="55" t="s">
        <v>2</v>
      </c>
      <c r="H1" s="37" t="s">
        <v>460</v>
      </c>
      <c r="I1" s="37" t="s">
        <v>461</v>
      </c>
    </row>
    <row r="2" spans="1:13">
      <c r="A2" s="47">
        <v>1</v>
      </c>
      <c r="B2" s="48">
        <v>46125.645138888889</v>
      </c>
      <c r="C2" s="48">
        <v>46125.645833333336</v>
      </c>
      <c r="D2" s="47" t="s">
        <v>462</v>
      </c>
      <c r="E2" s="47" t="s">
        <v>25</v>
      </c>
      <c r="F2" s="47" t="s">
        <v>24</v>
      </c>
      <c r="G2" s="47" t="s">
        <v>26</v>
      </c>
      <c r="H2" s="47" t="s">
        <v>27</v>
      </c>
      <c r="I2" s="47" t="s">
        <v>27</v>
      </c>
      <c r="K2" s="1" t="str">
        <f>F2&amp;E2</f>
        <v>RząsowskaDaria</v>
      </c>
      <c r="M2" s="1">
        <f>COUNTIF($K$2:$K$266,K2)</f>
        <v>1</v>
      </c>
    </row>
    <row r="3" spans="1:13">
      <c r="A3" s="47">
        <f>A2+1</f>
        <v>2</v>
      </c>
      <c r="B3" s="48">
        <v>46125.647222222222</v>
      </c>
      <c r="C3" s="48">
        <v>46125.647222222222</v>
      </c>
      <c r="D3" s="47" t="s">
        <v>462</v>
      </c>
      <c r="E3" s="47" t="s">
        <v>29</v>
      </c>
      <c r="F3" s="47" t="s">
        <v>28</v>
      </c>
      <c r="G3" s="47" t="s">
        <v>26</v>
      </c>
      <c r="H3" s="47" t="s">
        <v>27</v>
      </c>
      <c r="I3" s="47" t="s">
        <v>27</v>
      </c>
      <c r="K3" s="1" t="str">
        <f t="shared" ref="K3:K65" si="0">F3&amp;E3</f>
        <v>SzwejdaMartyna</v>
      </c>
      <c r="M3" s="1">
        <f>COUNTIF($K$2:$K$266,K3)</f>
        <v>1</v>
      </c>
    </row>
    <row r="4" spans="1:13">
      <c r="A4" s="47">
        <f t="shared" ref="A4:A67" si="1">A3+1</f>
        <v>3</v>
      </c>
      <c r="B4" s="48">
        <v>46125.648611111108</v>
      </c>
      <c r="C4" s="48">
        <v>46125.648611111108</v>
      </c>
      <c r="D4" s="47" t="s">
        <v>462</v>
      </c>
      <c r="E4" s="47" t="s">
        <v>31</v>
      </c>
      <c r="F4" s="47" t="s">
        <v>30</v>
      </c>
      <c r="G4" s="47" t="s">
        <v>32</v>
      </c>
      <c r="H4" s="47" t="s">
        <v>27</v>
      </c>
      <c r="I4" s="47" t="s">
        <v>33</v>
      </c>
      <c r="K4" s="1" t="str">
        <f t="shared" si="0"/>
        <v>SuroszMikołaj</v>
      </c>
      <c r="M4" s="1">
        <f>COUNTIF($K$2:$K$266,K4)</f>
        <v>1</v>
      </c>
    </row>
    <row r="5" spans="1:13">
      <c r="A5" s="47">
        <f t="shared" si="1"/>
        <v>4</v>
      </c>
      <c r="B5" s="48">
        <v>46125.65</v>
      </c>
      <c r="C5" s="48">
        <v>46125.65</v>
      </c>
      <c r="D5" s="47" t="s">
        <v>462</v>
      </c>
      <c r="E5" s="47" t="s">
        <v>35</v>
      </c>
      <c r="F5" s="47" t="s">
        <v>34</v>
      </c>
      <c r="G5" s="47" t="s">
        <v>26</v>
      </c>
      <c r="H5" s="47" t="s">
        <v>27</v>
      </c>
      <c r="I5" s="47" t="s">
        <v>27</v>
      </c>
      <c r="K5" s="1" t="str">
        <f t="shared" si="0"/>
        <v>HofmanAleksandra</v>
      </c>
      <c r="M5" s="1">
        <f>COUNTIF($K$2:$K$266,K5)</f>
        <v>1</v>
      </c>
    </row>
    <row r="6" spans="1:13">
      <c r="A6" s="47">
        <f t="shared" si="1"/>
        <v>5</v>
      </c>
      <c r="B6" s="48">
        <v>46125.652083333334</v>
      </c>
      <c r="C6" s="48">
        <v>46125.652777777781</v>
      </c>
      <c r="D6" s="47" t="s">
        <v>462</v>
      </c>
      <c r="E6" s="47" t="s">
        <v>37</v>
      </c>
      <c r="F6" s="47" t="s">
        <v>36</v>
      </c>
      <c r="G6" s="47" t="s">
        <v>26</v>
      </c>
      <c r="H6" s="47" t="s">
        <v>27</v>
      </c>
      <c r="I6" s="47" t="s">
        <v>27</v>
      </c>
      <c r="K6" s="1" t="str">
        <f t="shared" si="0"/>
        <v>DworakPatrycja</v>
      </c>
      <c r="M6" s="1">
        <f>COUNTIF($K$2:$K$266,K6)</f>
        <v>1</v>
      </c>
    </row>
    <row r="7" spans="1:13">
      <c r="A7" s="47">
        <f t="shared" si="1"/>
        <v>6</v>
      </c>
      <c r="B7" s="48">
        <v>46125.658333333333</v>
      </c>
      <c r="C7" s="48">
        <v>46125.658333333333</v>
      </c>
      <c r="D7" s="47" t="s">
        <v>462</v>
      </c>
      <c r="E7" s="47" t="s">
        <v>39</v>
      </c>
      <c r="F7" s="47" t="s">
        <v>38</v>
      </c>
      <c r="G7" s="47" t="s">
        <v>32</v>
      </c>
      <c r="H7" s="47" t="s">
        <v>27</v>
      </c>
      <c r="I7" s="47" t="s">
        <v>27</v>
      </c>
      <c r="K7" s="1" t="str">
        <f t="shared" si="0"/>
        <v>KrzyszkowskaLena</v>
      </c>
      <c r="M7" s="1">
        <f>COUNTIF($K$2:$K$266,K7)</f>
        <v>1</v>
      </c>
    </row>
    <row r="8" spans="1:13">
      <c r="A8" s="47">
        <f t="shared" si="1"/>
        <v>7</v>
      </c>
      <c r="B8" s="48">
        <v>46125.670138888891</v>
      </c>
      <c r="C8" s="48">
        <v>46125.67083333333</v>
      </c>
      <c r="D8" s="47" t="s">
        <v>462</v>
      </c>
      <c r="E8" s="47" t="s">
        <v>35</v>
      </c>
      <c r="F8" s="47" t="s">
        <v>40</v>
      </c>
      <c r="G8" s="47" t="s">
        <v>26</v>
      </c>
      <c r="H8" s="47" t="s">
        <v>27</v>
      </c>
      <c r="I8" s="47" t="s">
        <v>27</v>
      </c>
      <c r="K8" s="1" t="str">
        <f t="shared" si="0"/>
        <v>AlamaAleksandra</v>
      </c>
      <c r="M8" s="1">
        <f>COUNTIF($K$2:$K$266,K8)</f>
        <v>1</v>
      </c>
    </row>
    <row r="9" spans="1:13">
      <c r="A9" s="47">
        <f t="shared" si="1"/>
        <v>8</v>
      </c>
      <c r="B9" s="48">
        <v>46125.677083333336</v>
      </c>
      <c r="C9" s="48">
        <v>46125.677083333336</v>
      </c>
      <c r="D9" s="47" t="s">
        <v>462</v>
      </c>
      <c r="E9" s="47" t="s">
        <v>42</v>
      </c>
      <c r="F9" s="47" t="s">
        <v>41</v>
      </c>
      <c r="G9" s="47" t="s">
        <v>32</v>
      </c>
      <c r="H9" s="47" t="s">
        <v>27</v>
      </c>
      <c r="I9" s="47" t="s">
        <v>33</v>
      </c>
      <c r="K9" s="1" t="str">
        <f t="shared" si="0"/>
        <v>PółrolaAlan</v>
      </c>
      <c r="M9" s="1">
        <f>COUNTIF($K$2:$K$266,K9)</f>
        <v>1</v>
      </c>
    </row>
    <row r="10" spans="1:13">
      <c r="A10" s="47">
        <f t="shared" si="1"/>
        <v>9</v>
      </c>
      <c r="B10" s="48">
        <v>46125.682638888888</v>
      </c>
      <c r="C10" s="48">
        <v>46125.682638888888</v>
      </c>
      <c r="D10" s="47" t="s">
        <v>462</v>
      </c>
      <c r="E10" s="47" t="s">
        <v>44</v>
      </c>
      <c r="F10" s="47" t="s">
        <v>43</v>
      </c>
      <c r="G10" s="47" t="s">
        <v>32</v>
      </c>
      <c r="H10" s="47" t="s">
        <v>27</v>
      </c>
      <c r="I10" s="47" t="s">
        <v>27</v>
      </c>
      <c r="K10" s="1" t="str">
        <f t="shared" si="0"/>
        <v>BerskiJakub</v>
      </c>
      <c r="M10" s="1">
        <f>COUNTIF($K$2:$K$266,K10)</f>
        <v>1</v>
      </c>
    </row>
    <row r="11" spans="1:13">
      <c r="A11" s="47">
        <f t="shared" si="1"/>
        <v>10</v>
      </c>
      <c r="B11" s="48">
        <v>46125.696527777778</v>
      </c>
      <c r="C11" s="48">
        <v>46125.697222222225</v>
      </c>
      <c r="D11" s="47" t="s">
        <v>462</v>
      </c>
      <c r="E11" s="47" t="s">
        <v>46</v>
      </c>
      <c r="F11" s="47" t="s">
        <v>45</v>
      </c>
      <c r="G11" s="47" t="s">
        <v>26</v>
      </c>
      <c r="H11" s="47" t="s">
        <v>27</v>
      </c>
      <c r="I11" s="47" t="s">
        <v>27</v>
      </c>
      <c r="K11" s="1" t="str">
        <f t="shared" si="0"/>
        <v>CiupaWeronika</v>
      </c>
      <c r="M11" s="1">
        <f>COUNTIF($K$2:$K$266,K11)</f>
        <v>1</v>
      </c>
    </row>
    <row r="12" spans="1:13">
      <c r="A12" s="47">
        <f t="shared" si="1"/>
        <v>11</v>
      </c>
      <c r="B12" s="48">
        <v>46125.70208333333</v>
      </c>
      <c r="C12" s="48">
        <v>46125.70208333333</v>
      </c>
      <c r="D12" s="47" t="s">
        <v>462</v>
      </c>
      <c r="E12" s="47" t="s">
        <v>48</v>
      </c>
      <c r="F12" s="47" t="s">
        <v>47</v>
      </c>
      <c r="G12" s="47" t="s">
        <v>32</v>
      </c>
      <c r="H12" s="47" t="s">
        <v>27</v>
      </c>
      <c r="I12" s="47" t="s">
        <v>33</v>
      </c>
      <c r="K12" s="1" t="str">
        <f t="shared" si="0"/>
        <v>ZawalskaZofia</v>
      </c>
      <c r="M12" s="1">
        <f>COUNTIF($K$2:$K$266,K12)</f>
        <v>1</v>
      </c>
    </row>
    <row r="13" spans="1:13">
      <c r="A13" s="47">
        <f t="shared" si="1"/>
        <v>12</v>
      </c>
      <c r="B13" s="48">
        <v>46125.72152777778</v>
      </c>
      <c r="C13" s="48">
        <v>46125.72152777778</v>
      </c>
      <c r="D13" s="47" t="s">
        <v>462</v>
      </c>
      <c r="E13" s="47" t="s">
        <v>50</v>
      </c>
      <c r="F13" s="47" t="s">
        <v>49</v>
      </c>
      <c r="G13" s="47" t="s">
        <v>26</v>
      </c>
      <c r="H13" s="47" t="s">
        <v>27</v>
      </c>
      <c r="I13" s="47" t="s">
        <v>27</v>
      </c>
      <c r="K13" s="1" t="str">
        <f t="shared" si="0"/>
        <v>RosikRoksana</v>
      </c>
      <c r="M13" s="1">
        <f>COUNTIF($K$2:$K$266,K13)</f>
        <v>1</v>
      </c>
    </row>
    <row r="14" spans="1:13">
      <c r="A14" s="47">
        <f t="shared" si="1"/>
        <v>13</v>
      </c>
      <c r="B14" s="48">
        <v>46125.762499999997</v>
      </c>
      <c r="C14" s="48">
        <v>46125.762499999997</v>
      </c>
      <c r="D14" s="47" t="s">
        <v>462</v>
      </c>
      <c r="E14" s="47" t="s">
        <v>52</v>
      </c>
      <c r="F14" s="47" t="s">
        <v>51</v>
      </c>
      <c r="G14" s="47" t="s">
        <v>53</v>
      </c>
      <c r="H14" s="47" t="s">
        <v>27</v>
      </c>
      <c r="I14" s="47" t="s">
        <v>27</v>
      </c>
      <c r="K14" s="1" t="str">
        <f t="shared" si="0"/>
        <v>WardaWiktoria</v>
      </c>
      <c r="M14" s="1">
        <f>COUNTIF($K$2:$K$266,K14)</f>
        <v>1</v>
      </c>
    </row>
    <row r="15" spans="1:13">
      <c r="A15" s="47">
        <f t="shared" si="1"/>
        <v>14</v>
      </c>
      <c r="B15" s="48">
        <v>46125.763888888891</v>
      </c>
      <c r="C15" s="48">
        <v>46125.763888888891</v>
      </c>
      <c r="D15" s="47" t="s">
        <v>462</v>
      </c>
      <c r="E15" s="47" t="s">
        <v>55</v>
      </c>
      <c r="F15" s="47" t="s">
        <v>54</v>
      </c>
      <c r="G15" s="47" t="s">
        <v>53</v>
      </c>
      <c r="H15" s="47" t="s">
        <v>27</v>
      </c>
      <c r="I15" s="47" t="s">
        <v>27</v>
      </c>
      <c r="K15" s="1" t="str">
        <f t="shared" si="0"/>
        <v>KozłowskiSeweryn</v>
      </c>
      <c r="M15" s="1">
        <f>COUNTIF($K$2:$K$266,K15)</f>
        <v>1</v>
      </c>
    </row>
    <row r="16" spans="1:13">
      <c r="A16" s="47">
        <f t="shared" si="1"/>
        <v>15</v>
      </c>
      <c r="B16" s="48">
        <v>46125.763888888891</v>
      </c>
      <c r="C16" s="48">
        <v>46125.765277777777</v>
      </c>
      <c r="D16" s="47" t="s">
        <v>462</v>
      </c>
      <c r="E16" s="47" t="s">
        <v>57</v>
      </c>
      <c r="F16" s="47" t="s">
        <v>56</v>
      </c>
      <c r="G16" s="47" t="s">
        <v>32</v>
      </c>
      <c r="H16" s="47" t="s">
        <v>27</v>
      </c>
      <c r="I16" s="47" t="s">
        <v>33</v>
      </c>
      <c r="K16" s="1" t="str">
        <f t="shared" si="0"/>
        <v>NitaOliwia</v>
      </c>
      <c r="M16" s="1">
        <f>COUNTIF($K$2:$K$266,K16)</f>
        <v>1</v>
      </c>
    </row>
    <row r="17" spans="1:13">
      <c r="A17" s="47">
        <f t="shared" si="1"/>
        <v>16</v>
      </c>
      <c r="B17" s="48">
        <v>46125.765277777777</v>
      </c>
      <c r="C17" s="48">
        <v>46125.767361111109</v>
      </c>
      <c r="D17" s="47" t="s">
        <v>462</v>
      </c>
      <c r="E17" s="47" t="s">
        <v>59</v>
      </c>
      <c r="F17" s="47" t="s">
        <v>58</v>
      </c>
      <c r="G17" s="47" t="s">
        <v>53</v>
      </c>
      <c r="H17" s="47" t="s">
        <v>27</v>
      </c>
      <c r="I17" s="47" t="s">
        <v>33</v>
      </c>
      <c r="K17" s="1" t="str">
        <f t="shared" si="0"/>
        <v>BergierNatalia</v>
      </c>
      <c r="M17" s="1">
        <f>COUNTIF($K$2:$K$266,K17)</f>
        <v>1</v>
      </c>
    </row>
    <row r="18" spans="1:13">
      <c r="A18" s="47">
        <f t="shared" si="1"/>
        <v>17</v>
      </c>
      <c r="B18" s="48">
        <v>46125.768055555556</v>
      </c>
      <c r="C18" s="48">
        <v>46125.768750000003</v>
      </c>
      <c r="D18" s="47" t="s">
        <v>462</v>
      </c>
      <c r="E18" s="47" t="s">
        <v>61</v>
      </c>
      <c r="F18" s="47" t="s">
        <v>60</v>
      </c>
      <c r="G18" s="47" t="s">
        <v>53</v>
      </c>
      <c r="H18" s="47" t="s">
        <v>27</v>
      </c>
      <c r="I18" s="47" t="s">
        <v>27</v>
      </c>
      <c r="K18" s="1" t="str">
        <f t="shared" si="0"/>
        <v>JanuszMagda</v>
      </c>
      <c r="M18" s="1">
        <f>COUNTIF($K$2:$K$266,K18)</f>
        <v>1</v>
      </c>
    </row>
    <row r="19" spans="1:13">
      <c r="A19" s="47">
        <f t="shared" si="1"/>
        <v>18</v>
      </c>
      <c r="B19" s="48">
        <v>46125.769444444442</v>
      </c>
      <c r="C19" s="48">
        <v>46125.770138888889</v>
      </c>
      <c r="D19" s="47" t="s">
        <v>462</v>
      </c>
      <c r="E19" s="47" t="s">
        <v>63</v>
      </c>
      <c r="F19" s="47" t="s">
        <v>62</v>
      </c>
      <c r="G19" s="47" t="s">
        <v>53</v>
      </c>
      <c r="H19" s="47" t="s">
        <v>27</v>
      </c>
      <c r="I19" s="47" t="s">
        <v>27</v>
      </c>
      <c r="K19" s="1" t="str">
        <f t="shared" si="0"/>
        <v>RaczyńskaMaja</v>
      </c>
      <c r="M19" s="1">
        <f>COUNTIF($K$2:$K$266,K19)</f>
        <v>1</v>
      </c>
    </row>
    <row r="20" spans="1:13">
      <c r="A20" s="47">
        <f t="shared" si="1"/>
        <v>19</v>
      </c>
      <c r="B20" s="48">
        <v>46125.773611111108</v>
      </c>
      <c r="C20" s="48">
        <v>46125.774305555555</v>
      </c>
      <c r="D20" s="47" t="s">
        <v>462</v>
      </c>
      <c r="E20" s="47" t="s">
        <v>65</v>
      </c>
      <c r="F20" s="47" t="s">
        <v>64</v>
      </c>
      <c r="G20" s="47" t="s">
        <v>53</v>
      </c>
      <c r="H20" s="47" t="s">
        <v>27</v>
      </c>
      <c r="I20" s="47" t="s">
        <v>33</v>
      </c>
      <c r="K20" s="1" t="str">
        <f t="shared" si="0"/>
        <v>MordakNikola</v>
      </c>
      <c r="M20" s="1">
        <f>COUNTIF($K$2:$K$266,K20)</f>
        <v>1</v>
      </c>
    </row>
    <row r="21" spans="1:13">
      <c r="A21" s="47">
        <f t="shared" si="1"/>
        <v>20</v>
      </c>
      <c r="B21" s="48">
        <v>46125.777083333334</v>
      </c>
      <c r="C21" s="48">
        <v>46125.777777777781</v>
      </c>
      <c r="D21" s="47" t="s">
        <v>462</v>
      </c>
      <c r="E21" s="47" t="s">
        <v>67</v>
      </c>
      <c r="F21" s="47" t="s">
        <v>66</v>
      </c>
      <c r="G21" s="47" t="s">
        <v>53</v>
      </c>
      <c r="H21" s="47" t="s">
        <v>27</v>
      </c>
      <c r="I21" s="47" t="s">
        <v>27</v>
      </c>
      <c r="K21" s="1" t="str">
        <f t="shared" si="0"/>
        <v>BarnaśIga</v>
      </c>
      <c r="M21" s="1">
        <f>COUNTIF($K$2:$K$266,K21)</f>
        <v>1</v>
      </c>
    </row>
    <row r="22" spans="1:13">
      <c r="A22" s="47">
        <f t="shared" si="1"/>
        <v>21</v>
      </c>
      <c r="B22" s="48">
        <v>46125.790972222225</v>
      </c>
      <c r="C22" s="48">
        <v>46125.790972222225</v>
      </c>
      <c r="D22" s="47" t="s">
        <v>462</v>
      </c>
      <c r="E22" s="47" t="s">
        <v>25</v>
      </c>
      <c r="F22" s="47" t="s">
        <v>68</v>
      </c>
      <c r="G22" s="47" t="s">
        <v>53</v>
      </c>
      <c r="H22" s="47" t="s">
        <v>27</v>
      </c>
      <c r="I22" s="47" t="s">
        <v>27</v>
      </c>
      <c r="K22" s="1" t="str">
        <f t="shared" si="0"/>
        <v>PalkaDaria</v>
      </c>
      <c r="M22" s="1">
        <f>COUNTIF($K$2:$K$266,K22)</f>
        <v>1</v>
      </c>
    </row>
    <row r="23" spans="1:13">
      <c r="A23" s="47">
        <f t="shared" si="1"/>
        <v>22</v>
      </c>
      <c r="B23" s="48">
        <v>46125.840277777781</v>
      </c>
      <c r="C23" s="48">
        <v>46125.84375</v>
      </c>
      <c r="D23" s="47" t="s">
        <v>462</v>
      </c>
      <c r="E23" s="47" t="s">
        <v>70</v>
      </c>
      <c r="F23" s="47" t="s">
        <v>69</v>
      </c>
      <c r="G23" s="47" t="s">
        <v>32</v>
      </c>
      <c r="H23" s="47" t="s">
        <v>27</v>
      </c>
      <c r="I23" s="47" t="s">
        <v>27</v>
      </c>
      <c r="K23" s="1" t="str">
        <f t="shared" si="0"/>
        <v>ProszowskaKatarzyna</v>
      </c>
      <c r="M23" s="1">
        <f>COUNTIF($K$2:$K$266,K23)</f>
        <v>1</v>
      </c>
    </row>
    <row r="24" spans="1:13">
      <c r="A24" s="47">
        <f t="shared" si="1"/>
        <v>23</v>
      </c>
      <c r="B24" s="48">
        <v>46125.845138888886</v>
      </c>
      <c r="C24" s="48">
        <v>46125.845138888886</v>
      </c>
      <c r="D24" s="47" t="s">
        <v>462</v>
      </c>
      <c r="E24" s="47" t="s">
        <v>63</v>
      </c>
      <c r="F24" s="47" t="s">
        <v>71</v>
      </c>
      <c r="G24" s="47" t="s">
        <v>53</v>
      </c>
      <c r="H24" s="47" t="s">
        <v>27</v>
      </c>
      <c r="I24" s="47" t="s">
        <v>27</v>
      </c>
      <c r="K24" s="1" t="str">
        <f t="shared" si="0"/>
        <v>PietruszyńskaMaja</v>
      </c>
      <c r="M24" s="1">
        <f>COUNTIF($K$2:$K$266,K24)</f>
        <v>1</v>
      </c>
    </row>
    <row r="25" spans="1:13">
      <c r="A25" s="47">
        <f t="shared" si="1"/>
        <v>24</v>
      </c>
      <c r="B25" s="48">
        <v>46125.842361111114</v>
      </c>
      <c r="C25" s="48">
        <v>46125.84652777778</v>
      </c>
      <c r="D25" s="47" t="s">
        <v>462</v>
      </c>
      <c r="E25" s="47" t="s">
        <v>73</v>
      </c>
      <c r="F25" s="47" t="s">
        <v>72</v>
      </c>
      <c r="G25" s="47" t="s">
        <v>32</v>
      </c>
      <c r="H25" s="47" t="s">
        <v>27</v>
      </c>
      <c r="I25" s="47" t="s">
        <v>33</v>
      </c>
      <c r="K25" s="1" t="str">
        <f t="shared" si="0"/>
        <v>WinklerJulia</v>
      </c>
      <c r="M25" s="1">
        <f>COUNTIF($K$2:$K$266,K25)</f>
        <v>1</v>
      </c>
    </row>
    <row r="26" spans="1:13">
      <c r="A26" s="47">
        <f t="shared" si="1"/>
        <v>25</v>
      </c>
      <c r="B26" s="48">
        <v>46125.865972222222</v>
      </c>
      <c r="C26" s="48">
        <v>46125.866666666669</v>
      </c>
      <c r="D26" s="47" t="s">
        <v>462</v>
      </c>
      <c r="E26" s="47" t="s">
        <v>63</v>
      </c>
      <c r="F26" s="47" t="s">
        <v>74</v>
      </c>
      <c r="G26" s="47" t="s">
        <v>32</v>
      </c>
      <c r="H26" s="47" t="s">
        <v>27</v>
      </c>
      <c r="I26" s="47" t="s">
        <v>27</v>
      </c>
      <c r="K26" s="1" t="str">
        <f t="shared" si="0"/>
        <v>GuszkiewiczMaja</v>
      </c>
      <c r="M26" s="1">
        <f>COUNTIF($K$2:$K$266,K26)</f>
        <v>1</v>
      </c>
    </row>
    <row r="27" spans="1:13">
      <c r="A27" s="47">
        <f t="shared" si="1"/>
        <v>26</v>
      </c>
      <c r="B27" s="48">
        <v>46125.89166666667</v>
      </c>
      <c r="C27" s="48">
        <v>46125.892361111109</v>
      </c>
      <c r="D27" s="47" t="s">
        <v>462</v>
      </c>
      <c r="E27" s="47" t="s">
        <v>76</v>
      </c>
      <c r="F27" s="47" t="s">
        <v>75</v>
      </c>
      <c r="G27" s="47" t="s">
        <v>32</v>
      </c>
      <c r="H27" s="47" t="s">
        <v>27</v>
      </c>
      <c r="I27" s="47" t="s">
        <v>33</v>
      </c>
      <c r="K27" s="1" t="str">
        <f t="shared" si="0"/>
        <v>BulińskiMaciej</v>
      </c>
      <c r="M27" s="1">
        <f>COUNTIF($K$2:$K$266,K27)</f>
        <v>1</v>
      </c>
    </row>
    <row r="28" spans="1:13">
      <c r="A28" s="47">
        <f t="shared" si="1"/>
        <v>27</v>
      </c>
      <c r="B28" s="48">
        <v>46125.897222222222</v>
      </c>
      <c r="C28" s="48">
        <v>46125.897222222222</v>
      </c>
      <c r="D28" s="47" t="s">
        <v>462</v>
      </c>
      <c r="E28" s="47" t="s">
        <v>78</v>
      </c>
      <c r="F28" s="47" t="s">
        <v>77</v>
      </c>
      <c r="G28" s="47" t="s">
        <v>32</v>
      </c>
      <c r="H28" s="47" t="s">
        <v>27</v>
      </c>
      <c r="I28" s="47" t="s">
        <v>33</v>
      </c>
      <c r="K28" s="1" t="str">
        <f t="shared" si="0"/>
        <v>PietrasZuzanna</v>
      </c>
      <c r="M28" s="1">
        <f>COUNTIF($K$2:$K$266,K28)</f>
        <v>1</v>
      </c>
    </row>
    <row r="29" spans="1:13">
      <c r="A29" s="47">
        <f t="shared" si="1"/>
        <v>28</v>
      </c>
      <c r="B29" s="48">
        <v>46126.377083333333</v>
      </c>
      <c r="C29" s="48">
        <v>46126.37777777778</v>
      </c>
      <c r="D29" s="47" t="s">
        <v>462</v>
      </c>
      <c r="E29" s="47" t="s">
        <v>80</v>
      </c>
      <c r="F29" s="47" t="s">
        <v>79</v>
      </c>
      <c r="G29" s="47" t="s">
        <v>32</v>
      </c>
      <c r="H29" s="47" t="s">
        <v>27</v>
      </c>
      <c r="I29" s="47" t="s">
        <v>27</v>
      </c>
      <c r="K29" s="1" t="str">
        <f t="shared" si="0"/>
        <v>SitekSzymon</v>
      </c>
      <c r="M29" s="1">
        <f>COUNTIF($K$2:$K$266,K29)</f>
        <v>1</v>
      </c>
    </row>
    <row r="30" spans="1:13">
      <c r="A30" s="47">
        <f t="shared" si="1"/>
        <v>29</v>
      </c>
      <c r="B30" s="48">
        <v>46126.384027777778</v>
      </c>
      <c r="C30" s="48">
        <v>46126.384027777778</v>
      </c>
      <c r="D30" s="47" t="s">
        <v>462</v>
      </c>
      <c r="E30" s="47" t="s">
        <v>65</v>
      </c>
      <c r="F30" s="47" t="s">
        <v>81</v>
      </c>
      <c r="G30" s="47" t="s">
        <v>53</v>
      </c>
      <c r="H30" s="47" t="s">
        <v>27</v>
      </c>
      <c r="I30" s="47" t="s">
        <v>33</v>
      </c>
      <c r="K30" s="1" t="str">
        <f t="shared" si="0"/>
        <v>WałachowskaNikola</v>
      </c>
      <c r="M30" s="1">
        <f>COUNTIF($K$2:$K$266,K30)</f>
        <v>1</v>
      </c>
    </row>
    <row r="31" spans="1:13">
      <c r="A31" s="47">
        <f t="shared" si="1"/>
        <v>30</v>
      </c>
      <c r="B31" s="48">
        <v>46126.384027777778</v>
      </c>
      <c r="C31" s="48">
        <v>46126.384027777778</v>
      </c>
      <c r="D31" s="47" t="s">
        <v>462</v>
      </c>
      <c r="E31" s="47" t="s">
        <v>83</v>
      </c>
      <c r="F31" s="47" t="s">
        <v>82</v>
      </c>
      <c r="G31" s="47" t="s">
        <v>53</v>
      </c>
      <c r="H31" s="47" t="s">
        <v>27</v>
      </c>
      <c r="I31" s="47" t="s">
        <v>27</v>
      </c>
      <c r="K31" s="1" t="str">
        <f t="shared" si="0"/>
        <v>CzubajPaulina</v>
      </c>
      <c r="M31" s="1">
        <f>COUNTIF($K$2:$K$266,K31)</f>
        <v>1</v>
      </c>
    </row>
    <row r="32" spans="1:13">
      <c r="A32" s="47">
        <f t="shared" si="1"/>
        <v>31</v>
      </c>
      <c r="B32" s="48">
        <v>46126.405555555553</v>
      </c>
      <c r="C32" s="48">
        <v>46126.405555555553</v>
      </c>
      <c r="D32" s="47" t="s">
        <v>462</v>
      </c>
      <c r="E32" s="47" t="s">
        <v>85</v>
      </c>
      <c r="F32" s="47" t="s">
        <v>84</v>
      </c>
      <c r="G32" s="47" t="s">
        <v>53</v>
      </c>
      <c r="H32" s="47" t="s">
        <v>27</v>
      </c>
      <c r="I32" s="47" t="s">
        <v>27</v>
      </c>
      <c r="K32" s="1" t="str">
        <f t="shared" si="0"/>
        <v>BłachowiczPola</v>
      </c>
      <c r="M32" s="1">
        <f>COUNTIF($K$2:$K$266,K32)</f>
        <v>1</v>
      </c>
    </row>
    <row r="33" spans="1:13">
      <c r="A33" s="47">
        <f t="shared" si="1"/>
        <v>32</v>
      </c>
      <c r="B33" s="48">
        <v>46126.522916666669</v>
      </c>
      <c r="C33" s="48">
        <v>46126.522916666669</v>
      </c>
      <c r="D33" s="47" t="s">
        <v>462</v>
      </c>
      <c r="E33" s="47" t="s">
        <v>73</v>
      </c>
      <c r="F33" s="47" t="s">
        <v>86</v>
      </c>
      <c r="G33" s="47" t="s">
        <v>87</v>
      </c>
      <c r="H33" s="47" t="s">
        <v>27</v>
      </c>
      <c r="I33" s="47" t="s">
        <v>27</v>
      </c>
      <c r="K33" s="1" t="str">
        <f t="shared" si="0"/>
        <v>KowalczykJulia</v>
      </c>
      <c r="M33" s="1">
        <f>COUNTIF($K$2:$K$266,K33)</f>
        <v>2</v>
      </c>
    </row>
    <row r="34" spans="1:13">
      <c r="A34" s="47">
        <f t="shared" si="1"/>
        <v>33</v>
      </c>
      <c r="B34" s="48">
        <v>46126.522916666669</v>
      </c>
      <c r="C34" s="48">
        <v>46126.522916666669</v>
      </c>
      <c r="D34" s="47" t="s">
        <v>462</v>
      </c>
      <c r="E34" s="47" t="s">
        <v>89</v>
      </c>
      <c r="F34" s="47" t="s">
        <v>88</v>
      </c>
      <c r="G34" s="47" t="s">
        <v>87</v>
      </c>
      <c r="H34" s="47" t="s">
        <v>27</v>
      </c>
      <c r="I34" s="47" t="s">
        <v>27</v>
      </c>
      <c r="K34" s="1" t="str">
        <f t="shared" si="0"/>
        <v>ZatońOlga</v>
      </c>
      <c r="M34" s="1">
        <f>COUNTIF($K$2:$K$266,K34)</f>
        <v>1</v>
      </c>
    </row>
    <row r="35" spans="1:13">
      <c r="A35" s="47">
        <f t="shared" si="1"/>
        <v>34</v>
      </c>
      <c r="B35" s="48">
        <v>46126.522916666669</v>
      </c>
      <c r="C35" s="48">
        <v>46126.523611111108</v>
      </c>
      <c r="D35" s="47" t="s">
        <v>462</v>
      </c>
      <c r="E35" s="47" t="s">
        <v>89</v>
      </c>
      <c r="F35" s="47" t="s">
        <v>90</v>
      </c>
      <c r="G35" s="47" t="s">
        <v>87</v>
      </c>
      <c r="H35" s="47" t="s">
        <v>27</v>
      </c>
      <c r="I35" s="47" t="s">
        <v>27</v>
      </c>
      <c r="K35" s="1" t="str">
        <f t="shared" si="0"/>
        <v>OleszczakOlga</v>
      </c>
      <c r="M35" s="1">
        <f>COUNTIF($K$2:$K$266,K35)</f>
        <v>1</v>
      </c>
    </row>
    <row r="36" spans="1:13">
      <c r="A36" s="47">
        <f t="shared" si="1"/>
        <v>35</v>
      </c>
      <c r="B36" s="48">
        <v>46126.523611111108</v>
      </c>
      <c r="C36" s="48">
        <v>46126.523611111108</v>
      </c>
      <c r="D36" s="47" t="s">
        <v>462</v>
      </c>
      <c r="E36" s="47" t="s">
        <v>463</v>
      </c>
      <c r="F36" s="47" t="s">
        <v>464</v>
      </c>
      <c r="G36" s="47" t="s">
        <v>87</v>
      </c>
      <c r="H36" s="47" t="s">
        <v>27</v>
      </c>
      <c r="I36" s="47" t="s">
        <v>33</v>
      </c>
      <c r="K36" s="1" t="str">
        <f t="shared" si="0"/>
        <v>włodarczykkarolina</v>
      </c>
      <c r="M36" s="1">
        <f>COUNTIF($K$2:$K$266,K36)</f>
        <v>1</v>
      </c>
    </row>
    <row r="37" spans="1:13">
      <c r="A37" s="47">
        <f t="shared" si="1"/>
        <v>36</v>
      </c>
      <c r="B37" s="48">
        <v>46126.522916666669</v>
      </c>
      <c r="C37" s="48">
        <v>46126.523611111108</v>
      </c>
      <c r="D37" s="47" t="s">
        <v>462</v>
      </c>
      <c r="E37" s="47" t="s">
        <v>67</v>
      </c>
      <c r="F37" s="47" t="s">
        <v>93</v>
      </c>
      <c r="G37" s="47" t="s">
        <v>87</v>
      </c>
      <c r="H37" s="47" t="s">
        <v>27</v>
      </c>
      <c r="I37" s="47" t="s">
        <v>27</v>
      </c>
      <c r="K37" s="1" t="str">
        <f t="shared" si="0"/>
        <v>StaniszewskaIga</v>
      </c>
      <c r="M37" s="1">
        <f>COUNTIF($K$2:$K$266,K37)</f>
        <v>1</v>
      </c>
    </row>
    <row r="38" spans="1:13">
      <c r="A38" s="47">
        <f t="shared" si="1"/>
        <v>37</v>
      </c>
      <c r="B38" s="48">
        <v>46126.524305555555</v>
      </c>
      <c r="C38" s="48">
        <v>46126.525000000001</v>
      </c>
      <c r="D38" s="47" t="s">
        <v>462</v>
      </c>
      <c r="E38" s="47" t="s">
        <v>95</v>
      </c>
      <c r="F38" s="47" t="s">
        <v>94</v>
      </c>
      <c r="G38" s="47" t="s">
        <v>87</v>
      </c>
      <c r="H38" s="47" t="s">
        <v>27</v>
      </c>
      <c r="I38" s="47" t="s">
        <v>27</v>
      </c>
      <c r="K38" s="1" t="str">
        <f t="shared" si="0"/>
        <v>WyczółkowskaMilena</v>
      </c>
      <c r="M38" s="1">
        <f>COUNTIF($K$2:$K$266,K38)</f>
        <v>1</v>
      </c>
    </row>
    <row r="39" spans="1:13">
      <c r="A39" s="47">
        <f t="shared" si="1"/>
        <v>38</v>
      </c>
      <c r="B39" s="48">
        <v>46126.525000000001</v>
      </c>
      <c r="C39" s="48">
        <v>46126.525000000001</v>
      </c>
      <c r="D39" s="47" t="s">
        <v>462</v>
      </c>
      <c r="E39" s="47" t="s">
        <v>73</v>
      </c>
      <c r="F39" s="47" t="s">
        <v>96</v>
      </c>
      <c r="G39" s="47" t="s">
        <v>87</v>
      </c>
      <c r="H39" s="47" t="s">
        <v>27</v>
      </c>
      <c r="I39" s="47" t="s">
        <v>27</v>
      </c>
      <c r="K39" s="1" t="str">
        <f t="shared" si="0"/>
        <v>KaźmierskaJulia</v>
      </c>
      <c r="M39" s="1">
        <f>COUNTIF($K$2:$K$266,K39)</f>
        <v>1</v>
      </c>
    </row>
    <row r="40" spans="1:13">
      <c r="A40" s="47">
        <f t="shared" si="1"/>
        <v>39</v>
      </c>
      <c r="B40" s="48">
        <v>46126.524305555555</v>
      </c>
      <c r="C40" s="48">
        <v>46126.525000000001</v>
      </c>
      <c r="D40" s="47" t="s">
        <v>462</v>
      </c>
      <c r="E40" s="47" t="s">
        <v>98</v>
      </c>
      <c r="F40" s="47" t="s">
        <v>97</v>
      </c>
      <c r="G40" s="47" t="s">
        <v>87</v>
      </c>
      <c r="H40" s="47" t="s">
        <v>27</v>
      </c>
      <c r="I40" s="47" t="s">
        <v>27</v>
      </c>
      <c r="K40" s="1" t="str">
        <f t="shared" si="0"/>
        <v>MarekBarbara</v>
      </c>
      <c r="M40" s="1">
        <f>COUNTIF($K$2:$K$266,K40)</f>
        <v>1</v>
      </c>
    </row>
    <row r="41" spans="1:13">
      <c r="A41" s="47">
        <f t="shared" si="1"/>
        <v>40</v>
      </c>
      <c r="B41" s="48">
        <v>46126.525694444441</v>
      </c>
      <c r="C41" s="48">
        <v>46126.525694444441</v>
      </c>
      <c r="D41" s="47" t="s">
        <v>462</v>
      </c>
      <c r="E41" s="47" t="s">
        <v>100</v>
      </c>
      <c r="F41" s="47" t="s">
        <v>99</v>
      </c>
      <c r="G41" s="47" t="s">
        <v>87</v>
      </c>
      <c r="H41" s="47" t="s">
        <v>27</v>
      </c>
      <c r="I41" s="47" t="s">
        <v>27</v>
      </c>
      <c r="K41" s="1" t="str">
        <f t="shared" si="0"/>
        <v>KoziołKaja</v>
      </c>
      <c r="M41" s="1">
        <f>COUNTIF($K$2:$K$266,K41)</f>
        <v>1</v>
      </c>
    </row>
    <row r="42" spans="1:13">
      <c r="A42" s="47">
        <f t="shared" si="1"/>
        <v>41</v>
      </c>
      <c r="B42" s="48">
        <v>46126.525694444441</v>
      </c>
      <c r="C42" s="48">
        <v>46126.525694444441</v>
      </c>
      <c r="D42" s="47" t="s">
        <v>462</v>
      </c>
      <c r="E42" s="47" t="s">
        <v>59</v>
      </c>
      <c r="F42" s="47" t="s">
        <v>101</v>
      </c>
      <c r="G42" s="47" t="s">
        <v>87</v>
      </c>
      <c r="H42" s="47" t="s">
        <v>27</v>
      </c>
      <c r="I42" s="47" t="s">
        <v>27</v>
      </c>
      <c r="K42" s="1" t="str">
        <f t="shared" si="0"/>
        <v>CiemniewskaNatalia</v>
      </c>
      <c r="M42" s="1">
        <f>COUNTIF($K$2:$K$266,K42)</f>
        <v>1</v>
      </c>
    </row>
    <row r="43" spans="1:13">
      <c r="A43" s="47">
        <f t="shared" si="1"/>
        <v>42</v>
      </c>
      <c r="B43" s="48">
        <v>46126.526388888888</v>
      </c>
      <c r="C43" s="48">
        <v>46126.526388888888</v>
      </c>
      <c r="D43" s="47" t="s">
        <v>462</v>
      </c>
      <c r="E43" s="47" t="s">
        <v>46</v>
      </c>
      <c r="F43" s="47" t="s">
        <v>102</v>
      </c>
      <c r="G43" s="47" t="s">
        <v>87</v>
      </c>
      <c r="H43" s="47" t="s">
        <v>27</v>
      </c>
      <c r="I43" s="47" t="s">
        <v>33</v>
      </c>
      <c r="K43" s="1" t="str">
        <f t="shared" si="0"/>
        <v>PiotrowskaWeronika</v>
      </c>
      <c r="M43" s="1">
        <f>COUNTIF($K$2:$K$266,K43)</f>
        <v>1</v>
      </c>
    </row>
    <row r="44" spans="1:13">
      <c r="A44" s="47">
        <f t="shared" si="1"/>
        <v>43</v>
      </c>
      <c r="B44" s="48">
        <v>46126.706250000003</v>
      </c>
      <c r="C44" s="48">
        <v>46126.706944444442</v>
      </c>
      <c r="D44" s="47" t="s">
        <v>462</v>
      </c>
      <c r="E44" s="47" t="s">
        <v>73</v>
      </c>
      <c r="F44" s="47" t="s">
        <v>103</v>
      </c>
      <c r="G44" s="47" t="s">
        <v>53</v>
      </c>
      <c r="H44" s="47" t="s">
        <v>27</v>
      </c>
      <c r="I44" s="47" t="s">
        <v>27</v>
      </c>
      <c r="K44" s="1" t="str">
        <f t="shared" si="0"/>
        <v>CielasińskaJulia</v>
      </c>
      <c r="M44" s="1">
        <f>COUNTIF($K$2:$K$266,K44)</f>
        <v>1</v>
      </c>
    </row>
    <row r="45" spans="1:13">
      <c r="A45" s="47">
        <f t="shared" si="1"/>
        <v>44</v>
      </c>
      <c r="B45" s="48">
        <v>46126.915277777778</v>
      </c>
      <c r="C45" s="48">
        <v>46126.915277777778</v>
      </c>
      <c r="D45" s="47" t="s">
        <v>462</v>
      </c>
      <c r="E45" s="47" t="s">
        <v>105</v>
      </c>
      <c r="F45" s="47" t="s">
        <v>102</v>
      </c>
      <c r="G45" s="47" t="s">
        <v>87</v>
      </c>
      <c r="H45" s="47" t="s">
        <v>27</v>
      </c>
      <c r="I45" s="47" t="s">
        <v>27</v>
      </c>
      <c r="K45" s="1" t="str">
        <f t="shared" si="0"/>
        <v>PiotrowskaBlanka</v>
      </c>
      <c r="M45" s="1">
        <f>COUNTIF($K$2:$K$266,K45)</f>
        <v>1</v>
      </c>
    </row>
    <row r="46" spans="1:13">
      <c r="A46" s="47">
        <f t="shared" si="1"/>
        <v>45</v>
      </c>
      <c r="B46" s="48">
        <v>46127.849305555559</v>
      </c>
      <c r="C46" s="48">
        <v>46127.85</v>
      </c>
      <c r="D46" s="47" t="s">
        <v>462</v>
      </c>
      <c r="E46" s="47" t="s">
        <v>107</v>
      </c>
      <c r="F46" s="47" t="s">
        <v>106</v>
      </c>
      <c r="G46" s="47" t="s">
        <v>32</v>
      </c>
      <c r="H46" s="47" t="s">
        <v>27</v>
      </c>
      <c r="I46" s="47" t="s">
        <v>27</v>
      </c>
      <c r="K46" s="1" t="str">
        <f t="shared" si="0"/>
        <v>KancerekDawid</v>
      </c>
      <c r="M46" s="1">
        <f>COUNTIF($K$2:$K$266,K46)</f>
        <v>1</v>
      </c>
    </row>
    <row r="47" spans="1:13">
      <c r="A47" s="47">
        <f t="shared" si="1"/>
        <v>46</v>
      </c>
      <c r="B47" s="48">
        <v>46127.866666666669</v>
      </c>
      <c r="C47" s="48">
        <v>46127.866666666669</v>
      </c>
      <c r="D47" s="47" t="s">
        <v>462</v>
      </c>
      <c r="E47" s="47" t="s">
        <v>109</v>
      </c>
      <c r="F47" s="47" t="s">
        <v>108</v>
      </c>
      <c r="G47" s="47" t="s">
        <v>32</v>
      </c>
      <c r="H47" s="47" t="s">
        <v>27</v>
      </c>
      <c r="I47" s="47" t="s">
        <v>27</v>
      </c>
      <c r="K47" s="1" t="str">
        <f t="shared" si="0"/>
        <v>BałutPiotr</v>
      </c>
      <c r="M47" s="1">
        <f>COUNTIF($K$2:$K$266,K47)</f>
        <v>1</v>
      </c>
    </row>
    <row r="48" spans="1:13">
      <c r="A48" s="47">
        <f t="shared" si="1"/>
        <v>47</v>
      </c>
      <c r="B48" s="48">
        <v>46127.992361111108</v>
      </c>
      <c r="C48" s="48">
        <v>46127.992361111108</v>
      </c>
      <c r="D48" s="47" t="s">
        <v>462</v>
      </c>
      <c r="E48" s="47" t="s">
        <v>111</v>
      </c>
      <c r="F48" s="47" t="s">
        <v>110</v>
      </c>
      <c r="G48" s="47" t="s">
        <v>32</v>
      </c>
      <c r="H48" s="47" t="s">
        <v>27</v>
      </c>
      <c r="I48" s="47" t="s">
        <v>27</v>
      </c>
      <c r="K48" s="1" t="str">
        <f t="shared" si="0"/>
        <v>GębiczAnna</v>
      </c>
      <c r="M48" s="1">
        <f>COUNTIF($K$2:$K$266,K48)</f>
        <v>1</v>
      </c>
    </row>
    <row r="49" spans="1:13">
      <c r="A49" s="47">
        <f t="shared" si="1"/>
        <v>48</v>
      </c>
      <c r="B49" s="48">
        <v>46128.43472222222</v>
      </c>
      <c r="C49" s="48">
        <v>46128.43472222222</v>
      </c>
      <c r="D49" s="47" t="s">
        <v>462</v>
      </c>
      <c r="E49" s="47" t="s">
        <v>59</v>
      </c>
      <c r="F49" s="47" t="s">
        <v>112</v>
      </c>
      <c r="G49" s="47" t="s">
        <v>113</v>
      </c>
      <c r="H49" s="47" t="s">
        <v>27</v>
      </c>
      <c r="I49" s="47" t="s">
        <v>27</v>
      </c>
      <c r="K49" s="1" t="str">
        <f t="shared" si="0"/>
        <v>StępieńNatalia</v>
      </c>
      <c r="M49" s="1">
        <f>COUNTIF($K$2:$K$266,K49)</f>
        <v>1</v>
      </c>
    </row>
    <row r="50" spans="1:13">
      <c r="A50" s="47">
        <f t="shared" si="1"/>
        <v>49</v>
      </c>
      <c r="B50" s="48">
        <v>46128.43472222222</v>
      </c>
      <c r="C50" s="48">
        <v>46128.43472222222</v>
      </c>
      <c r="D50" s="47" t="s">
        <v>462</v>
      </c>
      <c r="E50" s="47" t="s">
        <v>116</v>
      </c>
      <c r="F50" s="47" t="s">
        <v>115</v>
      </c>
      <c r="G50" s="47" t="s">
        <v>113</v>
      </c>
      <c r="H50" s="47" t="s">
        <v>27</v>
      </c>
      <c r="I50" s="47" t="s">
        <v>27</v>
      </c>
      <c r="K50" s="1" t="str">
        <f t="shared" si="0"/>
        <v>MajcherekMałgorzata</v>
      </c>
      <c r="M50" s="1">
        <f>COUNTIF($K$2:$K$266,K50)</f>
        <v>1</v>
      </c>
    </row>
    <row r="51" spans="1:13">
      <c r="A51" s="47">
        <f t="shared" si="1"/>
        <v>50</v>
      </c>
      <c r="B51" s="48">
        <v>46128.43472222222</v>
      </c>
      <c r="C51" s="48">
        <v>46128.43472222222</v>
      </c>
      <c r="D51" s="47" t="s">
        <v>462</v>
      </c>
      <c r="E51" s="47" t="s">
        <v>73</v>
      </c>
      <c r="F51" s="47" t="s">
        <v>118</v>
      </c>
      <c r="G51" s="47" t="s">
        <v>113</v>
      </c>
      <c r="H51" s="47" t="s">
        <v>27</v>
      </c>
      <c r="I51" s="47" t="s">
        <v>27</v>
      </c>
      <c r="K51" s="1" t="str">
        <f t="shared" si="0"/>
        <v>OsieckaJulia</v>
      </c>
      <c r="M51" s="1">
        <f>COUNTIF($K$2:$K$266,K51)</f>
        <v>1</v>
      </c>
    </row>
    <row r="52" spans="1:13">
      <c r="A52" s="47">
        <f t="shared" si="1"/>
        <v>51</v>
      </c>
      <c r="B52" s="48">
        <v>46128.436111111114</v>
      </c>
      <c r="C52" s="48">
        <v>46128.436805555553</v>
      </c>
      <c r="D52" s="47" t="s">
        <v>462</v>
      </c>
      <c r="E52" s="47" t="s">
        <v>121</v>
      </c>
      <c r="F52" s="47" t="s">
        <v>120</v>
      </c>
      <c r="G52" s="47" t="s">
        <v>113</v>
      </c>
      <c r="H52" s="47" t="s">
        <v>27</v>
      </c>
      <c r="I52" s="47" t="s">
        <v>27</v>
      </c>
      <c r="K52" s="1" t="str">
        <f t="shared" si="0"/>
        <v>PrzeradaRóża</v>
      </c>
      <c r="M52" s="1">
        <f>COUNTIF($K$2:$K$266,K52)</f>
        <v>1</v>
      </c>
    </row>
    <row r="53" spans="1:13">
      <c r="A53" s="47">
        <f t="shared" si="1"/>
        <v>52</v>
      </c>
      <c r="B53" s="48">
        <v>46128.436805555553</v>
      </c>
      <c r="C53" s="48">
        <v>46128.436805555553</v>
      </c>
      <c r="D53" s="47" t="s">
        <v>462</v>
      </c>
      <c r="E53" s="47" t="s">
        <v>37</v>
      </c>
      <c r="F53" s="47" t="s">
        <v>123</v>
      </c>
      <c r="G53" s="47" t="s">
        <v>113</v>
      </c>
      <c r="H53" s="47" t="s">
        <v>27</v>
      </c>
      <c r="I53" s="47" t="s">
        <v>33</v>
      </c>
      <c r="K53" s="1" t="str">
        <f t="shared" si="0"/>
        <v>StojeckaPatrycja</v>
      </c>
      <c r="M53" s="1">
        <f>COUNTIF($K$2:$K$266,K53)</f>
        <v>1</v>
      </c>
    </row>
    <row r="54" spans="1:13">
      <c r="A54" s="47">
        <f t="shared" si="1"/>
        <v>53</v>
      </c>
      <c r="B54" s="48">
        <v>46128.436805555553</v>
      </c>
      <c r="C54" s="48">
        <v>46128.436805555553</v>
      </c>
      <c r="D54" s="47" t="s">
        <v>462</v>
      </c>
      <c r="E54" s="47" t="s">
        <v>73</v>
      </c>
      <c r="F54" s="47" t="s">
        <v>124</v>
      </c>
      <c r="G54" s="47" t="s">
        <v>113</v>
      </c>
      <c r="H54" s="47" t="s">
        <v>27</v>
      </c>
      <c r="I54" s="47" t="s">
        <v>27</v>
      </c>
      <c r="K54" s="1" t="str">
        <f t="shared" si="0"/>
        <v>ŚwitońJulia</v>
      </c>
      <c r="M54" s="1">
        <f>COUNTIF($K$2:$K$266,K54)</f>
        <v>1</v>
      </c>
    </row>
    <row r="55" spans="1:13">
      <c r="A55" s="47">
        <f t="shared" si="1"/>
        <v>54</v>
      </c>
      <c r="B55" s="48">
        <v>46128.436805555553</v>
      </c>
      <c r="C55" s="48">
        <v>46128.4375</v>
      </c>
      <c r="D55" s="47" t="s">
        <v>462</v>
      </c>
      <c r="E55" s="47" t="s">
        <v>127</v>
      </c>
      <c r="F55" s="47" t="s">
        <v>126</v>
      </c>
      <c r="G55" s="47" t="s">
        <v>113</v>
      </c>
      <c r="H55" s="47" t="s">
        <v>27</v>
      </c>
      <c r="I55" s="47" t="s">
        <v>27</v>
      </c>
      <c r="K55" s="1" t="str">
        <f t="shared" si="0"/>
        <v>ZaródKacper</v>
      </c>
      <c r="M55" s="1">
        <f>COUNTIF($K$2:$K$266,K55)</f>
        <v>1</v>
      </c>
    </row>
    <row r="56" spans="1:13">
      <c r="A56" s="47">
        <f t="shared" si="1"/>
        <v>55</v>
      </c>
      <c r="B56" s="48">
        <v>46128.4375</v>
      </c>
      <c r="C56" s="48">
        <v>46128.4375</v>
      </c>
      <c r="D56" s="47" t="s">
        <v>462</v>
      </c>
      <c r="E56" s="47" t="s">
        <v>63</v>
      </c>
      <c r="F56" s="47" t="s">
        <v>88</v>
      </c>
      <c r="G56" s="47" t="s">
        <v>113</v>
      </c>
      <c r="H56" s="47" t="s">
        <v>27</v>
      </c>
      <c r="I56" s="47" t="s">
        <v>27</v>
      </c>
      <c r="K56" s="1" t="str">
        <f t="shared" si="0"/>
        <v>ZatońMaja</v>
      </c>
      <c r="M56" s="1">
        <f>COUNTIF($K$2:$K$266,K56)</f>
        <v>1</v>
      </c>
    </row>
    <row r="57" spans="1:13">
      <c r="A57" s="47">
        <f t="shared" si="1"/>
        <v>56</v>
      </c>
      <c r="B57" s="48">
        <v>46128.438888888886</v>
      </c>
      <c r="C57" s="48">
        <v>46128.439583333333</v>
      </c>
      <c r="D57" s="47" t="s">
        <v>462</v>
      </c>
      <c r="E57" s="47" t="s">
        <v>131</v>
      </c>
      <c r="F57" s="47" t="s">
        <v>130</v>
      </c>
      <c r="G57" s="47" t="s">
        <v>113</v>
      </c>
      <c r="H57" s="47" t="s">
        <v>27</v>
      </c>
      <c r="I57" s="47" t="s">
        <v>27</v>
      </c>
      <c r="K57" s="1" t="str">
        <f t="shared" si="0"/>
        <v>WalickaMichalina</v>
      </c>
      <c r="M57" s="1">
        <f>COUNTIF($K$2:$K$266,K57)</f>
        <v>1</v>
      </c>
    </row>
    <row r="58" spans="1:13">
      <c r="A58" s="47">
        <f t="shared" si="1"/>
        <v>57</v>
      </c>
      <c r="B58" s="48">
        <v>46128.438888888886</v>
      </c>
      <c r="C58" s="48">
        <v>46128.439583333333</v>
      </c>
      <c r="D58" s="47" t="s">
        <v>462</v>
      </c>
      <c r="E58" s="47" t="s">
        <v>46</v>
      </c>
      <c r="F58" s="47" t="s">
        <v>133</v>
      </c>
      <c r="G58" s="47" t="s">
        <v>113</v>
      </c>
      <c r="H58" s="47" t="s">
        <v>27</v>
      </c>
      <c r="I58" s="47" t="s">
        <v>27</v>
      </c>
      <c r="K58" s="1" t="str">
        <f t="shared" si="0"/>
        <v>ŻołdakWeronika</v>
      </c>
      <c r="M58" s="1">
        <f>COUNTIF($K$2:$K$266,K58)</f>
        <v>1</v>
      </c>
    </row>
    <row r="59" spans="1:13">
      <c r="A59" s="47">
        <f t="shared" si="1"/>
        <v>58</v>
      </c>
      <c r="B59" s="48">
        <v>46128.439583333333</v>
      </c>
      <c r="C59" s="48">
        <v>46128.439583333333</v>
      </c>
      <c r="D59" s="47" t="s">
        <v>462</v>
      </c>
      <c r="E59" s="47" t="s">
        <v>135</v>
      </c>
      <c r="F59" s="47" t="s">
        <v>134</v>
      </c>
      <c r="G59" s="47" t="s">
        <v>113</v>
      </c>
      <c r="H59" s="47" t="s">
        <v>27</v>
      </c>
      <c r="I59" s="47" t="s">
        <v>27</v>
      </c>
      <c r="K59" s="1" t="str">
        <f t="shared" si="0"/>
        <v>SzymańskiAdam</v>
      </c>
      <c r="M59" s="1">
        <f>COUNTIF($K$2:$K$266,K59)</f>
        <v>1</v>
      </c>
    </row>
    <row r="60" spans="1:13">
      <c r="A60" s="47">
        <f t="shared" si="1"/>
        <v>59</v>
      </c>
      <c r="B60" s="48">
        <v>46128.439583333333</v>
      </c>
      <c r="C60" s="48">
        <v>46128.44027777778</v>
      </c>
      <c r="D60" s="47" t="s">
        <v>462</v>
      </c>
      <c r="E60" s="47" t="s">
        <v>92</v>
      </c>
      <c r="F60" s="47" t="s">
        <v>136</v>
      </c>
      <c r="G60" s="47" t="s">
        <v>113</v>
      </c>
      <c r="H60" s="47" t="s">
        <v>27</v>
      </c>
      <c r="I60" s="47" t="s">
        <v>27</v>
      </c>
      <c r="K60" s="1" t="str">
        <f t="shared" si="0"/>
        <v>JanikKarolina</v>
      </c>
      <c r="M60" s="1">
        <f>COUNTIF($K$2:$K$266,K60)</f>
        <v>1</v>
      </c>
    </row>
    <row r="61" spans="1:13">
      <c r="A61" s="47">
        <f t="shared" si="1"/>
        <v>60</v>
      </c>
      <c r="B61" s="48">
        <v>46128.44027777778</v>
      </c>
      <c r="C61" s="48">
        <v>46128.440972222219</v>
      </c>
      <c r="D61" s="47" t="s">
        <v>462</v>
      </c>
      <c r="E61" s="47" t="s">
        <v>139</v>
      </c>
      <c r="F61" s="47" t="s">
        <v>138</v>
      </c>
      <c r="G61" s="47" t="s">
        <v>113</v>
      </c>
      <c r="H61" s="47" t="s">
        <v>27</v>
      </c>
      <c r="I61" s="47" t="s">
        <v>27</v>
      </c>
      <c r="K61" s="1" t="str">
        <f t="shared" si="0"/>
        <v>KrupaAntonina</v>
      </c>
      <c r="M61" s="1">
        <f>COUNTIF($K$2:$K$266,K61)</f>
        <v>1</v>
      </c>
    </row>
    <row r="62" spans="1:13">
      <c r="A62" s="47">
        <f t="shared" si="1"/>
        <v>61</v>
      </c>
      <c r="B62" s="48">
        <v>46128.44027777778</v>
      </c>
      <c r="C62" s="48">
        <v>46128.440972222219</v>
      </c>
      <c r="D62" s="47" t="s">
        <v>462</v>
      </c>
      <c r="E62" s="47" t="s">
        <v>465</v>
      </c>
      <c r="F62" s="47" t="s">
        <v>466</v>
      </c>
      <c r="G62" s="47" t="s">
        <v>113</v>
      </c>
      <c r="H62" s="47" t="s">
        <v>27</v>
      </c>
      <c r="I62" s="47" t="s">
        <v>33</v>
      </c>
      <c r="K62" s="1" t="str">
        <f t="shared" si="0"/>
        <v>radkownikola</v>
      </c>
      <c r="M62" s="1">
        <f>COUNTIF($K$2:$K$266,K62)</f>
        <v>1</v>
      </c>
    </row>
    <row r="63" spans="1:13">
      <c r="A63" s="47">
        <f t="shared" si="1"/>
        <v>62</v>
      </c>
      <c r="B63" s="48">
        <v>46128.440972222219</v>
      </c>
      <c r="C63" s="48">
        <v>46128.440972222219</v>
      </c>
      <c r="D63" s="47" t="s">
        <v>462</v>
      </c>
      <c r="E63" s="47" t="s">
        <v>52</v>
      </c>
      <c r="F63" s="47" t="s">
        <v>144</v>
      </c>
      <c r="G63" s="47" t="s">
        <v>113</v>
      </c>
      <c r="H63" s="47" t="s">
        <v>27</v>
      </c>
      <c r="I63" s="47" t="s">
        <v>27</v>
      </c>
      <c r="K63" s="1" t="str">
        <f t="shared" si="0"/>
        <v>JadczykWiktoria</v>
      </c>
      <c r="M63" s="1">
        <f>COUNTIF($K$2:$K$266,K63)</f>
        <v>1</v>
      </c>
    </row>
    <row r="64" spans="1:13">
      <c r="A64" s="47">
        <f t="shared" si="1"/>
        <v>63</v>
      </c>
      <c r="B64" s="48">
        <v>46128.440972222219</v>
      </c>
      <c r="C64" s="48">
        <v>46128.440972222219</v>
      </c>
      <c r="D64" s="47" t="s">
        <v>462</v>
      </c>
      <c r="E64" s="47" t="s">
        <v>146</v>
      </c>
      <c r="F64" s="47" t="s">
        <v>145</v>
      </c>
      <c r="G64" s="47" t="s">
        <v>113</v>
      </c>
      <c r="H64" s="47" t="s">
        <v>27</v>
      </c>
      <c r="I64" s="47" t="s">
        <v>27</v>
      </c>
      <c r="K64" s="1" t="str">
        <f>F64&amp;E64</f>
        <v>SkalikJessica</v>
      </c>
      <c r="M64" s="1">
        <f>COUNTIF($K$2:$K$266,K64)</f>
        <v>1</v>
      </c>
    </row>
    <row r="65" spans="1:13">
      <c r="A65" s="47">
        <f t="shared" si="1"/>
        <v>64</v>
      </c>
      <c r="B65" s="48">
        <v>46128.442361111112</v>
      </c>
      <c r="C65" s="48">
        <v>46128.442361111112</v>
      </c>
      <c r="D65" s="47" t="s">
        <v>462</v>
      </c>
      <c r="E65" s="47" t="s">
        <v>65</v>
      </c>
      <c r="F65" s="47" t="s">
        <v>148</v>
      </c>
      <c r="G65" s="47" t="s">
        <v>87</v>
      </c>
      <c r="H65" s="47" t="s">
        <v>27</v>
      </c>
      <c r="I65" s="47" t="s">
        <v>27</v>
      </c>
      <c r="K65" s="1" t="str">
        <f t="shared" si="0"/>
        <v>WróblewskaNikola</v>
      </c>
      <c r="M65" s="1">
        <f>COUNTIF($K$2:$K$266,K65)</f>
        <v>1</v>
      </c>
    </row>
    <row r="66" spans="1:13">
      <c r="A66" s="47">
        <f t="shared" si="1"/>
        <v>65</v>
      </c>
      <c r="B66" s="48">
        <v>46128.479166666664</v>
      </c>
      <c r="C66" s="48">
        <v>46128.479166666664</v>
      </c>
      <c r="D66" s="47" t="s">
        <v>462</v>
      </c>
      <c r="E66" s="47" t="s">
        <v>29</v>
      </c>
      <c r="F66" s="47" t="s">
        <v>150</v>
      </c>
      <c r="G66" s="47" t="s">
        <v>113</v>
      </c>
      <c r="H66" s="47" t="s">
        <v>27</v>
      </c>
      <c r="I66" s="47" t="s">
        <v>27</v>
      </c>
      <c r="K66" s="1" t="str">
        <f t="shared" ref="K66:K126" si="2">F66&amp;E66</f>
        <v>OwsianaMartyna</v>
      </c>
      <c r="M66" s="1">
        <f>COUNTIF($K$2:$K$266,K66)</f>
        <v>1</v>
      </c>
    </row>
    <row r="67" spans="1:13">
      <c r="A67" s="47">
        <f t="shared" si="1"/>
        <v>66</v>
      </c>
      <c r="B67" s="48">
        <v>46128.692361111112</v>
      </c>
      <c r="C67" s="48">
        <v>46128.693055555559</v>
      </c>
      <c r="D67" s="47" t="s">
        <v>462</v>
      </c>
      <c r="E67" s="47" t="s">
        <v>153</v>
      </c>
      <c r="F67" s="47" t="s">
        <v>152</v>
      </c>
      <c r="G67" s="47" t="s">
        <v>26</v>
      </c>
      <c r="H67" s="47" t="s">
        <v>27</v>
      </c>
      <c r="I67" s="47" t="s">
        <v>27</v>
      </c>
      <c r="K67" s="1" t="str">
        <f t="shared" si="2"/>
        <v>KłosińskaAngelika</v>
      </c>
      <c r="M67" s="1">
        <f>COUNTIF($K$2:$K$266,K67)</f>
        <v>1</v>
      </c>
    </row>
    <row r="68" spans="1:13">
      <c r="A68" s="47">
        <f t="shared" ref="A68:A131" si="3">A67+1</f>
        <v>67</v>
      </c>
      <c r="B68" s="48">
        <v>46128.723611111112</v>
      </c>
      <c r="C68" s="48">
        <v>46128.724305555559</v>
      </c>
      <c r="D68" s="47" t="s">
        <v>462</v>
      </c>
      <c r="E68" s="47" t="s">
        <v>63</v>
      </c>
      <c r="F68" s="47" t="s">
        <v>154</v>
      </c>
      <c r="G68" s="47" t="s">
        <v>26</v>
      </c>
      <c r="H68" s="47" t="s">
        <v>27</v>
      </c>
      <c r="I68" s="47" t="s">
        <v>27</v>
      </c>
      <c r="K68" s="1" t="str">
        <f t="shared" si="2"/>
        <v>MielczarekMaja</v>
      </c>
      <c r="M68" s="1">
        <f>COUNTIF($K$2:$K$266,K68)</f>
        <v>1</v>
      </c>
    </row>
    <row r="69" spans="1:13">
      <c r="A69" s="47">
        <f t="shared" si="3"/>
        <v>68</v>
      </c>
      <c r="B69" s="48">
        <v>46128.788194444445</v>
      </c>
      <c r="C69" s="48">
        <v>46128.788888888892</v>
      </c>
      <c r="D69" s="47" t="s">
        <v>462</v>
      </c>
      <c r="E69" s="47" t="s">
        <v>63</v>
      </c>
      <c r="F69" s="47" t="s">
        <v>155</v>
      </c>
      <c r="G69" s="47" t="s">
        <v>113</v>
      </c>
      <c r="H69" s="47" t="s">
        <v>27</v>
      </c>
      <c r="I69" s="47" t="s">
        <v>27</v>
      </c>
      <c r="K69" s="1" t="str">
        <f t="shared" si="2"/>
        <v>AdasiakMaja</v>
      </c>
      <c r="M69" s="1">
        <f>COUNTIF($K$2:$K$266,K69)</f>
        <v>1</v>
      </c>
    </row>
    <row r="70" spans="1:13">
      <c r="A70" s="47">
        <f t="shared" si="3"/>
        <v>69</v>
      </c>
      <c r="B70" s="48">
        <v>46128.837500000001</v>
      </c>
      <c r="C70" s="48">
        <v>46128.838194444441</v>
      </c>
      <c r="D70" s="47" t="s">
        <v>462</v>
      </c>
      <c r="E70" s="47" t="s">
        <v>25</v>
      </c>
      <c r="F70" s="47" t="s">
        <v>157</v>
      </c>
      <c r="G70" s="47" t="s">
        <v>87</v>
      </c>
      <c r="H70" s="47" t="s">
        <v>27</v>
      </c>
      <c r="I70" s="47" t="s">
        <v>33</v>
      </c>
      <c r="K70" s="1" t="str">
        <f t="shared" si="2"/>
        <v>KołodziejczykDaria</v>
      </c>
      <c r="M70" s="1">
        <f>COUNTIF($K$2:$K$266,K70)</f>
        <v>1</v>
      </c>
    </row>
    <row r="71" spans="1:13">
      <c r="A71" s="47">
        <f t="shared" si="3"/>
        <v>70</v>
      </c>
      <c r="B71" s="48">
        <v>46128.85</v>
      </c>
      <c r="C71" s="48">
        <v>46128.85</v>
      </c>
      <c r="D71" s="47" t="s">
        <v>462</v>
      </c>
      <c r="E71" s="47" t="s">
        <v>100</v>
      </c>
      <c r="F71" s="47" t="s">
        <v>158</v>
      </c>
      <c r="G71" s="47" t="s">
        <v>53</v>
      </c>
      <c r="H71" s="47" t="s">
        <v>27</v>
      </c>
      <c r="I71" s="47" t="s">
        <v>33</v>
      </c>
      <c r="K71" s="1" t="str">
        <f t="shared" si="2"/>
        <v>GwaderaKaja</v>
      </c>
      <c r="M71" s="1">
        <f>COUNTIF($K$2:$K$266,K71)</f>
        <v>1</v>
      </c>
    </row>
    <row r="72" spans="1:13">
      <c r="A72" s="47">
        <f t="shared" si="3"/>
        <v>71</v>
      </c>
      <c r="B72" s="48">
        <v>46128.925000000003</v>
      </c>
      <c r="C72" s="48">
        <v>46128.925000000003</v>
      </c>
      <c r="D72" s="47" t="s">
        <v>462</v>
      </c>
      <c r="E72" s="47" t="s">
        <v>29</v>
      </c>
      <c r="F72" s="47" t="s">
        <v>159</v>
      </c>
      <c r="G72" s="47" t="s">
        <v>87</v>
      </c>
      <c r="H72" s="47" t="s">
        <v>27</v>
      </c>
      <c r="I72" s="47" t="s">
        <v>27</v>
      </c>
      <c r="K72" s="1" t="str">
        <f t="shared" si="2"/>
        <v>MaciejewskaMartyna</v>
      </c>
      <c r="M72" s="1">
        <f>COUNTIF($K$2:$K$266,K72)</f>
        <v>1</v>
      </c>
    </row>
    <row r="73" spans="1:13">
      <c r="A73" s="47">
        <f t="shared" si="3"/>
        <v>72</v>
      </c>
      <c r="B73" s="48">
        <v>46129.521527777775</v>
      </c>
      <c r="C73" s="48">
        <v>46129.521527777775</v>
      </c>
      <c r="D73" s="47" t="s">
        <v>462</v>
      </c>
      <c r="E73" s="47" t="s">
        <v>161</v>
      </c>
      <c r="F73" s="47" t="s">
        <v>160</v>
      </c>
      <c r="G73" s="47" t="s">
        <v>113</v>
      </c>
      <c r="H73" s="47" t="s">
        <v>27</v>
      </c>
      <c r="I73" s="47" t="s">
        <v>33</v>
      </c>
      <c r="K73" s="1" t="str">
        <f t="shared" si="2"/>
        <v>PioruńskiWojciech</v>
      </c>
      <c r="M73" s="1">
        <f>COUNTIF($K$2:$K$266,K73)</f>
        <v>1</v>
      </c>
    </row>
    <row r="74" spans="1:13">
      <c r="A74" s="47">
        <f t="shared" si="3"/>
        <v>73</v>
      </c>
      <c r="B74" s="48">
        <v>46129.618750000001</v>
      </c>
      <c r="C74" s="48">
        <v>46129.619444444441</v>
      </c>
      <c r="D74" s="47" t="s">
        <v>462</v>
      </c>
      <c r="E74" s="47" t="s">
        <v>63</v>
      </c>
      <c r="F74" s="47" t="s">
        <v>162</v>
      </c>
      <c r="G74" s="47" t="s">
        <v>87</v>
      </c>
      <c r="H74" s="47" t="s">
        <v>27</v>
      </c>
      <c r="I74" s="47" t="s">
        <v>27</v>
      </c>
      <c r="K74" s="1" t="str">
        <f t="shared" si="2"/>
        <v>TrzeciakMaja</v>
      </c>
      <c r="M74" s="1">
        <f>COUNTIF($K$2:$K$266,K74)</f>
        <v>1</v>
      </c>
    </row>
    <row r="75" spans="1:13">
      <c r="A75" s="47">
        <f t="shared" si="3"/>
        <v>74</v>
      </c>
      <c r="B75" s="48">
        <v>46129.659722222219</v>
      </c>
      <c r="C75" s="48">
        <v>46129.661111111112</v>
      </c>
      <c r="D75" s="47" t="s">
        <v>462</v>
      </c>
      <c r="E75" s="47" t="s">
        <v>63</v>
      </c>
      <c r="F75" s="47" t="s">
        <v>163</v>
      </c>
      <c r="G75" s="47" t="s">
        <v>87</v>
      </c>
      <c r="H75" s="47" t="s">
        <v>27</v>
      </c>
      <c r="I75" s="47" t="s">
        <v>33</v>
      </c>
      <c r="K75" s="1" t="str">
        <f t="shared" si="2"/>
        <v>WilkMaja</v>
      </c>
      <c r="M75" s="1">
        <f>COUNTIF($K$2:$K$266,K75)</f>
        <v>1</v>
      </c>
    </row>
    <row r="76" spans="1:13">
      <c r="A76" s="47">
        <f t="shared" si="3"/>
        <v>75</v>
      </c>
      <c r="B76" s="48">
        <v>46129.879861111112</v>
      </c>
      <c r="C76" s="48">
        <v>46129.880555555559</v>
      </c>
      <c r="D76" s="47" t="s">
        <v>462</v>
      </c>
      <c r="E76" s="47" t="s">
        <v>59</v>
      </c>
      <c r="F76" s="47" t="s">
        <v>93</v>
      </c>
      <c r="G76" s="47" t="s">
        <v>87</v>
      </c>
      <c r="H76" s="47" t="s">
        <v>27</v>
      </c>
      <c r="I76" s="47" t="s">
        <v>27</v>
      </c>
      <c r="K76" s="1" t="str">
        <f t="shared" si="2"/>
        <v>StaniszewskaNatalia</v>
      </c>
      <c r="M76" s="1">
        <f>COUNTIF($K$2:$K$266,K76)</f>
        <v>1</v>
      </c>
    </row>
    <row r="77" spans="1:13">
      <c r="A77" s="47">
        <f t="shared" si="3"/>
        <v>76</v>
      </c>
      <c r="B77" s="48">
        <v>46129.929166666669</v>
      </c>
      <c r="C77" s="48">
        <v>46129.929861111108</v>
      </c>
      <c r="D77" s="47" t="s">
        <v>462</v>
      </c>
      <c r="E77" s="47" t="s">
        <v>165</v>
      </c>
      <c r="F77" s="47" t="s">
        <v>164</v>
      </c>
      <c r="G77" s="47" t="s">
        <v>53</v>
      </c>
      <c r="H77" s="47" t="s">
        <v>27</v>
      </c>
      <c r="I77" s="47" t="s">
        <v>27</v>
      </c>
      <c r="K77" s="1" t="str">
        <f t="shared" si="2"/>
        <v>DziubaZuzannna</v>
      </c>
      <c r="M77" s="1">
        <f>COUNTIF($K$2:$K$266,K77)</f>
        <v>1</v>
      </c>
    </row>
    <row r="78" spans="1:13">
      <c r="A78" s="47">
        <f t="shared" si="3"/>
        <v>77</v>
      </c>
      <c r="B78" s="48">
        <v>46130.607638888891</v>
      </c>
      <c r="C78" s="48">
        <v>46130.60833333333</v>
      </c>
      <c r="D78" s="47" t="s">
        <v>462</v>
      </c>
      <c r="E78" s="47" t="s">
        <v>166</v>
      </c>
      <c r="F78" s="47" t="s">
        <v>108</v>
      </c>
      <c r="G78" s="47" t="s">
        <v>87</v>
      </c>
      <c r="H78" s="47" t="s">
        <v>27</v>
      </c>
      <c r="I78" s="47" t="s">
        <v>27</v>
      </c>
      <c r="K78" s="1" t="str">
        <f t="shared" si="2"/>
        <v>BałutMateusz</v>
      </c>
      <c r="M78" s="1">
        <f>COUNTIF($K$2:$K$266,K78)</f>
        <v>1</v>
      </c>
    </row>
    <row r="79" spans="1:13">
      <c r="A79" s="47">
        <f t="shared" si="3"/>
        <v>78</v>
      </c>
      <c r="B79" s="48">
        <v>46130.65</v>
      </c>
      <c r="C79" s="48">
        <v>46130.65</v>
      </c>
      <c r="D79" s="47" t="s">
        <v>462</v>
      </c>
      <c r="E79" s="47" t="s">
        <v>168</v>
      </c>
      <c r="F79" s="47" t="s">
        <v>167</v>
      </c>
      <c r="G79" s="47" t="s">
        <v>87</v>
      </c>
      <c r="H79" s="47" t="s">
        <v>27</v>
      </c>
      <c r="I79" s="47" t="s">
        <v>33</v>
      </c>
      <c r="K79" s="1" t="str">
        <f t="shared" si="2"/>
        <v>KaczmarekJan</v>
      </c>
      <c r="M79" s="1">
        <f>COUNTIF($K$2:$K$266,K79)</f>
        <v>1</v>
      </c>
    </row>
    <row r="80" spans="1:13">
      <c r="A80" s="47">
        <f t="shared" si="3"/>
        <v>79</v>
      </c>
      <c r="B80" s="48">
        <v>46130.883333333331</v>
      </c>
      <c r="C80" s="48">
        <v>46130.883333333331</v>
      </c>
      <c r="D80" s="47" t="s">
        <v>462</v>
      </c>
      <c r="E80" s="47" t="s">
        <v>170</v>
      </c>
      <c r="F80" s="47" t="s">
        <v>169</v>
      </c>
      <c r="G80" s="47" t="s">
        <v>87</v>
      </c>
      <c r="H80" s="47" t="s">
        <v>27</v>
      </c>
      <c r="I80" s="47" t="s">
        <v>27</v>
      </c>
      <c r="K80" s="1" t="str">
        <f t="shared" si="2"/>
        <v>DryjaKlaudia</v>
      </c>
      <c r="M80" s="1">
        <f>COUNTIF($K$2:$K$266,K80)</f>
        <v>1</v>
      </c>
    </row>
    <row r="81" spans="1:13">
      <c r="A81" s="47">
        <f t="shared" si="3"/>
        <v>80</v>
      </c>
      <c r="B81" s="48">
        <v>46131.617361111108</v>
      </c>
      <c r="C81" s="48">
        <v>46131.617361111108</v>
      </c>
      <c r="D81" s="47" t="s">
        <v>462</v>
      </c>
      <c r="E81" s="47" t="s">
        <v>173</v>
      </c>
      <c r="F81" s="47" t="s">
        <v>172</v>
      </c>
      <c r="G81" s="47" t="s">
        <v>87</v>
      </c>
      <c r="H81" s="47" t="s">
        <v>27</v>
      </c>
      <c r="I81" s="47" t="s">
        <v>33</v>
      </c>
      <c r="K81" s="1" t="str">
        <f t="shared" si="2"/>
        <v>PasakFilip</v>
      </c>
      <c r="M81" s="1">
        <f>COUNTIF($K$2:$K$266,K81)</f>
        <v>1</v>
      </c>
    </row>
    <row r="82" spans="1:13">
      <c r="A82" s="47">
        <f t="shared" si="3"/>
        <v>81</v>
      </c>
      <c r="B82" s="48">
        <v>46131.761805555558</v>
      </c>
      <c r="C82" s="48">
        <v>46131.762499999997</v>
      </c>
      <c r="D82" s="47" t="s">
        <v>462</v>
      </c>
      <c r="E82" s="47" t="s">
        <v>59</v>
      </c>
      <c r="F82" s="47" t="s">
        <v>174</v>
      </c>
      <c r="G82" s="47" t="s">
        <v>26</v>
      </c>
      <c r="H82" s="47" t="s">
        <v>27</v>
      </c>
      <c r="I82" s="47" t="s">
        <v>27</v>
      </c>
      <c r="K82" s="1" t="str">
        <f t="shared" si="2"/>
        <v>WieczorekNatalia</v>
      </c>
      <c r="M82" s="1">
        <f>COUNTIF($K$2:$K$266,K82)</f>
        <v>1</v>
      </c>
    </row>
    <row r="83" spans="1:13">
      <c r="A83" s="47">
        <f t="shared" si="3"/>
        <v>82</v>
      </c>
      <c r="B83" s="48">
        <v>46131.979166666664</v>
      </c>
      <c r="C83" s="48">
        <v>46131.979861111111</v>
      </c>
      <c r="D83" s="47" t="s">
        <v>462</v>
      </c>
      <c r="E83" s="47" t="s">
        <v>65</v>
      </c>
      <c r="F83" s="47" t="s">
        <v>175</v>
      </c>
      <c r="G83" s="47" t="s">
        <v>113</v>
      </c>
      <c r="H83" s="47" t="s">
        <v>27</v>
      </c>
      <c r="I83" s="47" t="s">
        <v>27</v>
      </c>
      <c r="K83" s="1" t="str">
        <f t="shared" si="2"/>
        <v>BalickaNikola</v>
      </c>
      <c r="M83" s="1">
        <f>COUNTIF($K$2:$K$266,K83)</f>
        <v>1</v>
      </c>
    </row>
    <row r="84" spans="1:13">
      <c r="A84" s="47">
        <f t="shared" si="3"/>
        <v>83</v>
      </c>
      <c r="B84" s="48">
        <v>46132.572222222225</v>
      </c>
      <c r="C84" s="48">
        <v>46131.979861111111</v>
      </c>
      <c r="D84" s="47" t="s">
        <v>462</v>
      </c>
      <c r="E84" s="47" t="s">
        <v>78</v>
      </c>
      <c r="F84" s="47" t="s">
        <v>86</v>
      </c>
      <c r="G84" s="47" t="s">
        <v>113</v>
      </c>
      <c r="H84" s="47" t="s">
        <v>27</v>
      </c>
      <c r="I84" s="47" t="s">
        <v>27</v>
      </c>
      <c r="K84" s="1" t="str">
        <f t="shared" si="2"/>
        <v>KowalczykZuzanna</v>
      </c>
      <c r="M84" s="1">
        <f>COUNTIF($K$2:$K$266,K84)</f>
        <v>1</v>
      </c>
    </row>
    <row r="85" spans="1:13">
      <c r="A85" s="47">
        <f t="shared" si="3"/>
        <v>84</v>
      </c>
      <c r="B85" s="48">
        <v>46133.535416666666</v>
      </c>
      <c r="C85" s="48">
        <v>46133.536111111112</v>
      </c>
      <c r="D85" s="47" t="s">
        <v>462</v>
      </c>
      <c r="E85" s="47" t="s">
        <v>178</v>
      </c>
      <c r="F85" s="47" t="s">
        <v>177</v>
      </c>
      <c r="G85" s="47" t="s">
        <v>179</v>
      </c>
      <c r="H85" s="47" t="s">
        <v>27</v>
      </c>
      <c r="I85" s="47" t="s">
        <v>27</v>
      </c>
      <c r="K85" s="1" t="str">
        <f t="shared" si="2"/>
        <v>WoldanAntoni</v>
      </c>
      <c r="M85" s="1">
        <f>COUNTIF($K$2:$K$266,K85)</f>
        <v>1</v>
      </c>
    </row>
    <row r="86" spans="1:13">
      <c r="A86" s="47">
        <f t="shared" si="3"/>
        <v>85</v>
      </c>
      <c r="B86" s="50">
        <v>46134.777083333334</v>
      </c>
      <c r="C86" s="50">
        <v>46134.777083333334</v>
      </c>
      <c r="D86" s="49" t="s">
        <v>462</v>
      </c>
      <c r="E86" s="49" t="s">
        <v>76</v>
      </c>
      <c r="F86" s="49" t="s">
        <v>180</v>
      </c>
      <c r="G86" s="49" t="s">
        <v>113</v>
      </c>
      <c r="H86" s="49" t="s">
        <v>27</v>
      </c>
      <c r="I86" s="49" t="s">
        <v>33</v>
      </c>
      <c r="K86" s="1" t="str">
        <f t="shared" si="2"/>
        <v>PokropskiMaciej</v>
      </c>
      <c r="M86" s="1">
        <f>COUNTIF($K$2:$K$266,K86)</f>
        <v>1</v>
      </c>
    </row>
    <row r="87" spans="1:13">
      <c r="A87" s="47">
        <f t="shared" si="3"/>
        <v>86</v>
      </c>
      <c r="B87" s="52">
        <v>46134.780555555553</v>
      </c>
      <c r="C87" s="52">
        <v>46134.780555555553</v>
      </c>
      <c r="D87" s="51" t="s">
        <v>462</v>
      </c>
      <c r="E87" s="51" t="s">
        <v>182</v>
      </c>
      <c r="F87" s="51" t="s">
        <v>181</v>
      </c>
      <c r="G87" s="51" t="s">
        <v>32</v>
      </c>
      <c r="H87" s="51" t="s">
        <v>27</v>
      </c>
      <c r="I87" s="51" t="s">
        <v>33</v>
      </c>
      <c r="K87" s="1" t="str">
        <f t="shared" si="2"/>
        <v>OrzechowskiRafał</v>
      </c>
      <c r="M87" s="1">
        <f>COUNTIF($K$2:$K$266,K87)</f>
        <v>1</v>
      </c>
    </row>
    <row r="88" spans="1:13">
      <c r="A88" s="47">
        <f t="shared" si="3"/>
        <v>87</v>
      </c>
      <c r="B88" s="50">
        <v>46135.732638888891</v>
      </c>
      <c r="C88" s="50">
        <v>46134.780555555553</v>
      </c>
      <c r="D88" s="49" t="s">
        <v>462</v>
      </c>
      <c r="E88" s="49" t="s">
        <v>59</v>
      </c>
      <c r="F88" s="49" t="s">
        <v>183</v>
      </c>
      <c r="G88" s="49" t="s">
        <v>53</v>
      </c>
      <c r="H88" s="49" t="s">
        <v>27</v>
      </c>
      <c r="I88" s="49" t="s">
        <v>27</v>
      </c>
      <c r="K88" s="1" t="str">
        <f t="shared" si="2"/>
        <v>KarbownikNatalia</v>
      </c>
      <c r="M88" s="1">
        <f>COUNTIF($K$2:$K$266,K88)</f>
        <v>1</v>
      </c>
    </row>
    <row r="89" spans="1:13">
      <c r="A89" s="47">
        <f t="shared" si="3"/>
        <v>88</v>
      </c>
      <c r="B89" s="52">
        <v>46135.79583333333</v>
      </c>
      <c r="C89" s="52">
        <v>46135.796527777777</v>
      </c>
      <c r="D89" s="51" t="s">
        <v>462</v>
      </c>
      <c r="E89" s="51" t="s">
        <v>185</v>
      </c>
      <c r="F89" s="51" t="s">
        <v>184</v>
      </c>
      <c r="G89" s="51" t="s">
        <v>53</v>
      </c>
      <c r="H89" s="51" t="s">
        <v>27</v>
      </c>
      <c r="I89" s="51" t="s">
        <v>27</v>
      </c>
      <c r="K89" s="1" t="str">
        <f t="shared" si="2"/>
        <v>PokoraNadia</v>
      </c>
      <c r="M89" s="1">
        <f>COUNTIF($K$2:$K$266,K89)</f>
        <v>1</v>
      </c>
    </row>
    <row r="90" spans="1:13">
      <c r="A90" s="47">
        <f t="shared" si="3"/>
        <v>89</v>
      </c>
      <c r="B90" s="50">
        <v>46135.79583333333</v>
      </c>
      <c r="C90" s="50">
        <v>46135.796527777777</v>
      </c>
      <c r="D90" s="49" t="s">
        <v>462</v>
      </c>
      <c r="E90" s="49" t="s">
        <v>170</v>
      </c>
      <c r="F90" s="49" t="s">
        <v>186</v>
      </c>
      <c r="G90" s="49" t="s">
        <v>53</v>
      </c>
      <c r="H90" s="49" t="s">
        <v>27</v>
      </c>
      <c r="I90" s="49" t="s">
        <v>27</v>
      </c>
      <c r="K90" s="1" t="str">
        <f t="shared" si="2"/>
        <v>ZakrzewskaKlaudia</v>
      </c>
      <c r="M90" s="1">
        <f>COUNTIF($K$2:$K$266,K90)</f>
        <v>1</v>
      </c>
    </row>
    <row r="91" spans="1:13">
      <c r="A91" s="47">
        <f t="shared" si="3"/>
        <v>90</v>
      </c>
      <c r="B91" s="50">
        <v>46139.714583333334</v>
      </c>
      <c r="C91" s="50">
        <v>46139.715277777781</v>
      </c>
      <c r="D91" s="49" t="s">
        <v>462</v>
      </c>
      <c r="E91" s="49" t="s">
        <v>127</v>
      </c>
      <c r="F91" s="49" t="s">
        <v>187</v>
      </c>
      <c r="G91" s="49" t="s">
        <v>188</v>
      </c>
      <c r="H91" s="49" t="s">
        <v>27</v>
      </c>
      <c r="I91" s="49" t="s">
        <v>27</v>
      </c>
      <c r="K91" s="1" t="str">
        <f t="shared" si="2"/>
        <v>KukiełkaKacper</v>
      </c>
      <c r="M91" s="1">
        <f>COUNTIF($K$2:$K$266,K91)</f>
        <v>1</v>
      </c>
    </row>
    <row r="92" spans="1:13">
      <c r="A92" s="47">
        <f t="shared" si="3"/>
        <v>91</v>
      </c>
      <c r="B92" s="52">
        <v>46139.714583333334</v>
      </c>
      <c r="C92" s="52">
        <v>46139.715277777781</v>
      </c>
      <c r="D92" s="51" t="s">
        <v>462</v>
      </c>
      <c r="E92" s="51" t="s">
        <v>59</v>
      </c>
      <c r="F92" s="51" t="s">
        <v>110</v>
      </c>
      <c r="G92" s="51" t="s">
        <v>188</v>
      </c>
      <c r="H92" s="51" t="s">
        <v>27</v>
      </c>
      <c r="I92" s="51" t="s">
        <v>27</v>
      </c>
      <c r="K92" s="1" t="str">
        <f t="shared" si="2"/>
        <v>GębiczNatalia</v>
      </c>
      <c r="M92" s="1">
        <f>COUNTIF($K$2:$K$266,K92)</f>
        <v>1</v>
      </c>
    </row>
    <row r="93" spans="1:13">
      <c r="A93" s="47">
        <f t="shared" si="3"/>
        <v>92</v>
      </c>
      <c r="B93" s="50">
        <v>46139.714583333334</v>
      </c>
      <c r="C93" s="50">
        <v>46139.715277777781</v>
      </c>
      <c r="D93" s="49" t="s">
        <v>462</v>
      </c>
      <c r="E93" s="49" t="s">
        <v>80</v>
      </c>
      <c r="F93" s="49" t="s">
        <v>189</v>
      </c>
      <c r="G93" s="49" t="s">
        <v>188</v>
      </c>
      <c r="H93" s="49" t="s">
        <v>27</v>
      </c>
      <c r="I93" s="49" t="s">
        <v>27</v>
      </c>
      <c r="K93" s="1" t="str">
        <f t="shared" si="2"/>
        <v>RogulskiSzymon</v>
      </c>
      <c r="M93" s="1">
        <f>COUNTIF($K$2:$K$266,K93)</f>
        <v>1</v>
      </c>
    </row>
    <row r="94" spans="1:13">
      <c r="A94" s="47">
        <f t="shared" si="3"/>
        <v>93</v>
      </c>
      <c r="B94" s="52">
        <v>46139.715277777781</v>
      </c>
      <c r="C94" s="52">
        <v>46139.715277777781</v>
      </c>
      <c r="D94" s="51" t="s">
        <v>462</v>
      </c>
      <c r="E94" s="51" t="s">
        <v>42</v>
      </c>
      <c r="F94" s="51" t="s">
        <v>190</v>
      </c>
      <c r="G94" s="51" t="s">
        <v>188</v>
      </c>
      <c r="H94" s="51" t="s">
        <v>27</v>
      </c>
      <c r="I94" s="51" t="s">
        <v>27</v>
      </c>
      <c r="K94" s="1" t="str">
        <f t="shared" si="2"/>
        <v>ZbrojaAlan</v>
      </c>
      <c r="M94" s="1">
        <f>COUNTIF($K$2:$K$266,K94)</f>
        <v>1</v>
      </c>
    </row>
    <row r="95" spans="1:13">
      <c r="A95" s="47">
        <f t="shared" si="3"/>
        <v>94</v>
      </c>
      <c r="B95" s="50">
        <v>46139.715277777781</v>
      </c>
      <c r="C95" s="50">
        <v>46139.715277777781</v>
      </c>
      <c r="D95" s="49" t="s">
        <v>462</v>
      </c>
      <c r="E95" s="49" t="s">
        <v>467</v>
      </c>
      <c r="F95" s="49" t="s">
        <v>468</v>
      </c>
      <c r="G95" s="49" t="s">
        <v>188</v>
      </c>
      <c r="H95" s="49" t="s">
        <v>27</v>
      </c>
      <c r="I95" s="49" t="s">
        <v>27</v>
      </c>
      <c r="K95" s="1" t="str">
        <f t="shared" si="2"/>
        <v>famulskamilena</v>
      </c>
      <c r="M95" s="1">
        <f>COUNTIF($K$2:$K$266,K95)</f>
        <v>1</v>
      </c>
    </row>
    <row r="96" spans="1:13">
      <c r="A96" s="47">
        <f t="shared" si="3"/>
        <v>95</v>
      </c>
      <c r="B96" s="52">
        <v>46139.716666666667</v>
      </c>
      <c r="C96" s="52">
        <v>46139.716666666667</v>
      </c>
      <c r="D96" s="51" t="s">
        <v>462</v>
      </c>
      <c r="E96" s="51" t="s">
        <v>192</v>
      </c>
      <c r="F96" s="51" t="s">
        <v>154</v>
      </c>
      <c r="G96" s="51" t="s">
        <v>188</v>
      </c>
      <c r="H96" s="51" t="s">
        <v>27</v>
      </c>
      <c r="I96" s="51" t="s">
        <v>27</v>
      </c>
      <c r="K96" s="1" t="str">
        <f t="shared" si="2"/>
        <v>MielczarekJulian</v>
      </c>
      <c r="M96" s="1">
        <f>COUNTIF($K$2:$K$266,K96)</f>
        <v>1</v>
      </c>
    </row>
    <row r="97" spans="1:13">
      <c r="A97" s="47">
        <f t="shared" si="3"/>
        <v>96</v>
      </c>
      <c r="B97" s="52">
        <v>46139.722916666666</v>
      </c>
      <c r="C97" s="52">
        <v>46139.722916666666</v>
      </c>
      <c r="D97" s="51" t="s">
        <v>462</v>
      </c>
      <c r="E97" s="51" t="s">
        <v>39</v>
      </c>
      <c r="F97" s="51" t="s">
        <v>193</v>
      </c>
      <c r="G97" s="51" t="s">
        <v>188</v>
      </c>
      <c r="H97" s="51" t="s">
        <v>27</v>
      </c>
      <c r="I97" s="51" t="s">
        <v>27</v>
      </c>
      <c r="K97" s="1" t="str">
        <f t="shared" si="2"/>
        <v>KoperskaLena</v>
      </c>
      <c r="M97" s="1">
        <f>COUNTIF($K$2:$K$266,K97)</f>
        <v>1</v>
      </c>
    </row>
    <row r="98" spans="1:13">
      <c r="A98" s="47">
        <f t="shared" si="3"/>
        <v>97</v>
      </c>
      <c r="B98" s="50">
        <v>46139.753472222219</v>
      </c>
      <c r="C98" s="50">
        <v>46139.753472222219</v>
      </c>
      <c r="D98" s="49" t="s">
        <v>462</v>
      </c>
      <c r="E98" s="49" t="s">
        <v>195</v>
      </c>
      <c r="F98" s="49" t="s">
        <v>194</v>
      </c>
      <c r="G98" s="49" t="s">
        <v>188</v>
      </c>
      <c r="H98" s="49" t="s">
        <v>27</v>
      </c>
      <c r="I98" s="49" t="s">
        <v>27</v>
      </c>
      <c r="K98" s="1" t="str">
        <f t="shared" si="2"/>
        <v>DratwaHanna</v>
      </c>
      <c r="M98" s="1">
        <f>COUNTIF($K$2:$K$266,K98)</f>
        <v>1</v>
      </c>
    </row>
    <row r="99" spans="1:13">
      <c r="A99" s="47">
        <f t="shared" si="3"/>
        <v>98</v>
      </c>
      <c r="B99" s="52">
        <v>46139.759027777778</v>
      </c>
      <c r="C99" s="52">
        <v>46139.759027777778</v>
      </c>
      <c r="D99" s="51" t="s">
        <v>462</v>
      </c>
      <c r="E99" s="51" t="s">
        <v>197</v>
      </c>
      <c r="F99" s="51" t="s">
        <v>196</v>
      </c>
      <c r="G99" s="51" t="s">
        <v>188</v>
      </c>
      <c r="H99" s="51" t="s">
        <v>27</v>
      </c>
      <c r="I99" s="51" t="s">
        <v>27</v>
      </c>
      <c r="K99" s="1" t="str">
        <f t="shared" si="2"/>
        <v>ZaskórskiBartek</v>
      </c>
      <c r="M99" s="1">
        <f>COUNTIF($K$2:$K$266,K99)</f>
        <v>1</v>
      </c>
    </row>
    <row r="100" spans="1:13">
      <c r="A100" s="47">
        <f t="shared" si="3"/>
        <v>99</v>
      </c>
      <c r="B100" s="50">
        <v>46139.759722222225</v>
      </c>
      <c r="C100" s="50">
        <v>46139.760416666664</v>
      </c>
      <c r="D100" s="49" t="s">
        <v>462</v>
      </c>
      <c r="E100" s="49" t="s">
        <v>199</v>
      </c>
      <c r="F100" s="49" t="s">
        <v>198</v>
      </c>
      <c r="G100" s="49" t="s">
        <v>188</v>
      </c>
      <c r="H100" s="49" t="s">
        <v>27</v>
      </c>
      <c r="I100" s="49" t="s">
        <v>27</v>
      </c>
      <c r="K100" s="1" t="str">
        <f t="shared" si="2"/>
        <v>SkóraNatasza</v>
      </c>
      <c r="M100" s="1">
        <f>COUNTIF($K$2:$K$266,K100)</f>
        <v>1</v>
      </c>
    </row>
    <row r="101" spans="1:13">
      <c r="A101" s="47">
        <f t="shared" si="3"/>
        <v>100</v>
      </c>
      <c r="B101" s="52">
        <v>46139.802777777775</v>
      </c>
      <c r="C101" s="52">
        <v>46139.803472222222</v>
      </c>
      <c r="D101" s="51" t="s">
        <v>462</v>
      </c>
      <c r="E101" s="51" t="s">
        <v>57</v>
      </c>
      <c r="F101" s="51" t="s">
        <v>200</v>
      </c>
      <c r="G101" s="51" t="s">
        <v>188</v>
      </c>
      <c r="H101" s="51" t="s">
        <v>27</v>
      </c>
      <c r="I101" s="51" t="s">
        <v>27</v>
      </c>
      <c r="K101" s="1" t="str">
        <f t="shared" si="2"/>
        <v>KałużaOliwia</v>
      </c>
      <c r="M101" s="1">
        <f>COUNTIF($K$2:$K$266,K101)</f>
        <v>1</v>
      </c>
    </row>
    <row r="102" spans="1:13">
      <c r="A102" s="47">
        <f t="shared" si="3"/>
        <v>101</v>
      </c>
      <c r="B102" s="50">
        <v>46139.807638888888</v>
      </c>
      <c r="C102" s="50">
        <v>46139.808333333334</v>
      </c>
      <c r="D102" s="49" t="s">
        <v>462</v>
      </c>
      <c r="E102" s="49" t="s">
        <v>202</v>
      </c>
      <c r="F102" s="49" t="s">
        <v>201</v>
      </c>
      <c r="G102" s="49" t="s">
        <v>188</v>
      </c>
      <c r="H102" s="49" t="s">
        <v>27</v>
      </c>
      <c r="I102" s="49" t="s">
        <v>27</v>
      </c>
      <c r="K102" s="1" t="str">
        <f t="shared" si="2"/>
        <v>RokselaKrzysztof</v>
      </c>
      <c r="M102" s="1">
        <f>COUNTIF($K$2:$K$266,K102)</f>
        <v>1</v>
      </c>
    </row>
    <row r="103" spans="1:13">
      <c r="A103" s="47">
        <f t="shared" si="3"/>
        <v>102</v>
      </c>
      <c r="B103" s="52">
        <v>46139.888888888891</v>
      </c>
      <c r="C103" s="52">
        <v>46139.888888888891</v>
      </c>
      <c r="D103" s="51" t="s">
        <v>462</v>
      </c>
      <c r="E103" s="51" t="s">
        <v>469</v>
      </c>
      <c r="F103" s="51" t="s">
        <v>470</v>
      </c>
      <c r="G103" s="51" t="s">
        <v>188</v>
      </c>
      <c r="H103" s="51" t="s">
        <v>27</v>
      </c>
      <c r="I103" s="51" t="s">
        <v>33</v>
      </c>
      <c r="K103" s="1" t="str">
        <f t="shared" si="2"/>
        <v>GrzywnaOla</v>
      </c>
      <c r="M103" s="1">
        <f>COUNTIF($K$2:$K$266,K103)</f>
        <v>1</v>
      </c>
    </row>
    <row r="104" spans="1:13">
      <c r="A104" s="47">
        <f t="shared" si="3"/>
        <v>103</v>
      </c>
      <c r="B104" s="50">
        <v>46140.425000000003</v>
      </c>
      <c r="C104" s="50">
        <v>46140.425000000003</v>
      </c>
      <c r="D104" s="49" t="s">
        <v>462</v>
      </c>
      <c r="E104" s="49" t="s">
        <v>206</v>
      </c>
      <c r="F104" s="49" t="s">
        <v>205</v>
      </c>
      <c r="G104" s="49" t="s">
        <v>188</v>
      </c>
      <c r="H104" s="49" t="s">
        <v>27</v>
      </c>
      <c r="I104" s="49" t="s">
        <v>27</v>
      </c>
      <c r="K104" s="1" t="str">
        <f t="shared" si="2"/>
        <v>MachnikDominika</v>
      </c>
      <c r="M104" s="1">
        <f>COUNTIF($K$2:$K$266,K104)</f>
        <v>1</v>
      </c>
    </row>
    <row r="105" spans="1:13">
      <c r="A105" s="47">
        <f t="shared" si="3"/>
        <v>104</v>
      </c>
      <c r="B105" s="50">
        <v>46140.604166666664</v>
      </c>
      <c r="C105" s="50">
        <v>46140.604861111111</v>
      </c>
      <c r="D105" s="49" t="s">
        <v>462</v>
      </c>
      <c r="E105" s="49" t="s">
        <v>208</v>
      </c>
      <c r="F105" s="49" t="s">
        <v>207</v>
      </c>
      <c r="G105" s="49" t="s">
        <v>188</v>
      </c>
      <c r="H105" s="49" t="s">
        <v>27</v>
      </c>
      <c r="I105" s="49" t="s">
        <v>33</v>
      </c>
      <c r="K105" s="1" t="str">
        <f t="shared" si="2"/>
        <v>BroszkiewiczMaya</v>
      </c>
      <c r="M105" s="1">
        <f>COUNTIF($K$2:$K$266,K105)</f>
        <v>1</v>
      </c>
    </row>
    <row r="106" spans="1:13">
      <c r="A106" s="47">
        <f t="shared" si="3"/>
        <v>105</v>
      </c>
      <c r="B106" s="52">
        <v>46140.615972222222</v>
      </c>
      <c r="C106" s="52">
        <v>46140.616666666669</v>
      </c>
      <c r="D106" s="51" t="s">
        <v>462</v>
      </c>
      <c r="E106" s="51" t="s">
        <v>31</v>
      </c>
      <c r="F106" s="51" t="s">
        <v>209</v>
      </c>
      <c r="G106" s="51" t="s">
        <v>188</v>
      </c>
      <c r="H106" s="51" t="s">
        <v>27</v>
      </c>
      <c r="I106" s="51" t="s">
        <v>27</v>
      </c>
      <c r="K106" s="1" t="str">
        <f t="shared" si="2"/>
        <v>WojciechowskiMikołaj</v>
      </c>
      <c r="M106" s="1">
        <f>COUNTIF($K$2:$K$266,K106)</f>
        <v>1</v>
      </c>
    </row>
    <row r="107" spans="1:13">
      <c r="A107" s="47">
        <f t="shared" si="3"/>
        <v>106</v>
      </c>
      <c r="B107" s="50">
        <v>46140.97152777778</v>
      </c>
      <c r="C107" s="50">
        <v>46140.972222222219</v>
      </c>
      <c r="D107" s="49" t="s">
        <v>462</v>
      </c>
      <c r="E107" s="49" t="s">
        <v>73</v>
      </c>
      <c r="F107" s="49" t="s">
        <v>210</v>
      </c>
      <c r="G107" s="49" t="s">
        <v>188</v>
      </c>
      <c r="H107" s="49" t="s">
        <v>27</v>
      </c>
      <c r="I107" s="49" t="s">
        <v>27</v>
      </c>
      <c r="K107" s="1" t="str">
        <f t="shared" si="2"/>
        <v>LesińskaJulia</v>
      </c>
      <c r="M107" s="1">
        <f>COUNTIF($K$2:$K$266,K107)</f>
        <v>1</v>
      </c>
    </row>
    <row r="108" spans="1:13">
      <c r="A108" s="47">
        <f t="shared" si="3"/>
        <v>107</v>
      </c>
      <c r="B108" s="50">
        <v>46140.972222222219</v>
      </c>
      <c r="C108" s="50">
        <v>46140.972222222219</v>
      </c>
      <c r="D108" s="49" t="s">
        <v>462</v>
      </c>
      <c r="E108" s="49" t="s">
        <v>212</v>
      </c>
      <c r="F108" s="49" t="s">
        <v>211</v>
      </c>
      <c r="G108" s="49" t="s">
        <v>188</v>
      </c>
      <c r="H108" s="49" t="s">
        <v>27</v>
      </c>
      <c r="I108" s="49" t="s">
        <v>27</v>
      </c>
      <c r="K108" s="1" t="str">
        <f t="shared" si="2"/>
        <v>firekula</v>
      </c>
      <c r="M108" s="1">
        <f>COUNTIF($K$2:$K$266,K108)</f>
        <v>1</v>
      </c>
    </row>
    <row r="109" spans="1:13">
      <c r="A109" s="47">
        <f t="shared" si="3"/>
        <v>108</v>
      </c>
      <c r="B109" s="52">
        <v>46142.597222222219</v>
      </c>
      <c r="C109" s="52">
        <v>46142.597222222219</v>
      </c>
      <c r="D109" s="51" t="s">
        <v>462</v>
      </c>
      <c r="E109" s="51" t="s">
        <v>214</v>
      </c>
      <c r="F109" s="51" t="s">
        <v>213</v>
      </c>
      <c r="G109" s="51" t="s">
        <v>188</v>
      </c>
      <c r="H109" s="51" t="s">
        <v>27</v>
      </c>
      <c r="I109" s="51" t="s">
        <v>33</v>
      </c>
      <c r="K109" s="1" t="str">
        <f t="shared" si="2"/>
        <v>makowskihubert</v>
      </c>
      <c r="M109" s="1">
        <f>COUNTIF($K$2:$K$266,K109)</f>
        <v>1</v>
      </c>
    </row>
    <row r="110" spans="1:13">
      <c r="A110" s="47">
        <f t="shared" si="3"/>
        <v>109</v>
      </c>
      <c r="B110" s="50">
        <v>46153.702777777777</v>
      </c>
      <c r="C110" s="50">
        <v>46153.702777777777</v>
      </c>
      <c r="D110" s="49" t="s">
        <v>462</v>
      </c>
      <c r="E110" s="49" t="s">
        <v>216</v>
      </c>
      <c r="F110" s="49" t="s">
        <v>215</v>
      </c>
      <c r="G110" s="49" t="s">
        <v>53</v>
      </c>
      <c r="H110" s="49" t="s">
        <v>27</v>
      </c>
      <c r="I110" s="49" t="s">
        <v>33</v>
      </c>
      <c r="K110" s="1" t="str">
        <f t="shared" si="2"/>
        <v>ŁypBianca</v>
      </c>
      <c r="M110" s="1">
        <f>COUNTIF($K$2:$K$266,K110)</f>
        <v>1</v>
      </c>
    </row>
    <row r="111" spans="1:13">
      <c r="A111" s="47">
        <f t="shared" si="3"/>
        <v>110</v>
      </c>
      <c r="B111" s="52">
        <v>46164.887499999997</v>
      </c>
      <c r="C111" s="52">
        <v>46164.888194444444</v>
      </c>
      <c r="D111" s="51" t="s">
        <v>462</v>
      </c>
      <c r="E111" s="51" t="s">
        <v>63</v>
      </c>
      <c r="F111" s="51" t="s">
        <v>217</v>
      </c>
      <c r="G111" s="51" t="s">
        <v>188</v>
      </c>
      <c r="H111" s="51" t="s">
        <v>27</v>
      </c>
      <c r="I111" s="51" t="s">
        <v>33</v>
      </c>
      <c r="K111" s="1" t="str">
        <f t="shared" si="2"/>
        <v>BartońMaja</v>
      </c>
      <c r="M111" s="1">
        <f>COUNTIF($K$2:$K$266,K111)</f>
        <v>1</v>
      </c>
    </row>
    <row r="112" spans="1:13">
      <c r="A112" s="47">
        <f t="shared" si="3"/>
        <v>111</v>
      </c>
      <c r="B112" s="50">
        <v>46165.593055555553</v>
      </c>
      <c r="C112" s="50">
        <v>46165.59375</v>
      </c>
      <c r="D112" s="49" t="s">
        <v>462</v>
      </c>
      <c r="E112" s="49" t="s">
        <v>219</v>
      </c>
      <c r="F112" s="49" t="s">
        <v>218</v>
      </c>
      <c r="G112" s="49" t="s">
        <v>188</v>
      </c>
      <c r="H112" s="49" t="s">
        <v>27</v>
      </c>
      <c r="I112" s="49" t="s">
        <v>33</v>
      </c>
      <c r="K112" s="1" t="str">
        <f t="shared" si="2"/>
        <v>WilczyńskiPrzemek</v>
      </c>
      <c r="M112" s="1">
        <f>COUNTIF($K$2:$K$266,K112)</f>
        <v>1</v>
      </c>
    </row>
    <row r="113" spans="1:13">
      <c r="A113" s="47">
        <f t="shared" si="3"/>
        <v>112</v>
      </c>
      <c r="B113" s="52">
        <v>46165.99722222222</v>
      </c>
      <c r="C113" s="52">
        <v>46165.59375</v>
      </c>
      <c r="D113" s="51" t="s">
        <v>462</v>
      </c>
      <c r="E113" s="51" t="s">
        <v>135</v>
      </c>
      <c r="F113" s="51" t="s">
        <v>180</v>
      </c>
      <c r="G113" s="51" t="s">
        <v>188</v>
      </c>
      <c r="H113" s="51" t="s">
        <v>27</v>
      </c>
      <c r="I113" s="51" t="s">
        <v>27</v>
      </c>
      <c r="K113" s="1" t="str">
        <f>F113&amp;E113</f>
        <v>PokropskiAdam</v>
      </c>
      <c r="M113" s="1">
        <f>COUNTIF($K$2:$K$266,K113)</f>
        <v>1</v>
      </c>
    </row>
    <row r="114" spans="1:13">
      <c r="A114" s="47">
        <f t="shared" si="3"/>
        <v>113</v>
      </c>
      <c r="B114" s="50">
        <v>46167.59375</v>
      </c>
      <c r="C114" s="50">
        <v>46167.594444444447</v>
      </c>
      <c r="D114" s="49" t="s">
        <v>462</v>
      </c>
      <c r="E114" s="49" t="s">
        <v>221</v>
      </c>
      <c r="F114" s="49" t="s">
        <v>220</v>
      </c>
      <c r="G114" s="49" t="s">
        <v>32</v>
      </c>
      <c r="H114" s="49" t="s">
        <v>27</v>
      </c>
      <c r="I114" s="49" t="s">
        <v>27</v>
      </c>
      <c r="K114" s="1" t="str">
        <f t="shared" si="2"/>
        <v>GrządzielPatryk</v>
      </c>
      <c r="M114" s="1">
        <f>COUNTIF($K$2:$K$266,K114)</f>
        <v>1</v>
      </c>
    </row>
    <row r="115" spans="1:13">
      <c r="A115" s="47">
        <f t="shared" si="3"/>
        <v>114</v>
      </c>
      <c r="B115" s="52">
        <v>46167.85</v>
      </c>
      <c r="C115" s="52">
        <v>46167.85</v>
      </c>
      <c r="D115" s="51" t="s">
        <v>462</v>
      </c>
      <c r="E115" s="51" t="s">
        <v>223</v>
      </c>
      <c r="F115" s="51" t="s">
        <v>222</v>
      </c>
      <c r="G115" s="51" t="s">
        <v>87</v>
      </c>
      <c r="H115" s="51" t="s">
        <v>27</v>
      </c>
      <c r="I115" s="51" t="s">
        <v>33</v>
      </c>
      <c r="K115" s="1" t="str">
        <f t="shared" si="2"/>
        <v>ŁysikMarta</v>
      </c>
      <c r="M115" s="1">
        <f>COUNTIF($K$2:$K$266,K115)</f>
        <v>1</v>
      </c>
    </row>
    <row r="116" spans="1:13">
      <c r="A116" s="47">
        <f t="shared" si="3"/>
        <v>115</v>
      </c>
      <c r="B116" s="50">
        <v>46167.854861111111</v>
      </c>
      <c r="C116" s="50">
        <v>46167.854861111111</v>
      </c>
      <c r="D116" s="49" t="s">
        <v>462</v>
      </c>
      <c r="E116" s="49" t="s">
        <v>44</v>
      </c>
      <c r="F116" s="49" t="s">
        <v>224</v>
      </c>
      <c r="G116" s="49" t="s">
        <v>87</v>
      </c>
      <c r="H116" s="49" t="s">
        <v>27</v>
      </c>
      <c r="I116" s="49" t="s">
        <v>33</v>
      </c>
      <c r="K116" s="1" t="str">
        <f t="shared" si="2"/>
        <v>RogalskiJakub</v>
      </c>
      <c r="M116" s="1">
        <f>COUNTIF($K$2:$K$266,K116)</f>
        <v>1</v>
      </c>
    </row>
    <row r="117" spans="1:13">
      <c r="A117" s="47">
        <f t="shared" si="3"/>
        <v>116</v>
      </c>
      <c r="B117" s="52">
        <v>46167.890277777777</v>
      </c>
      <c r="C117" s="52">
        <v>46167.890972222223</v>
      </c>
      <c r="D117" s="51" t="s">
        <v>462</v>
      </c>
      <c r="E117" s="51" t="s">
        <v>226</v>
      </c>
      <c r="F117" s="51" t="s">
        <v>225</v>
      </c>
      <c r="G117" s="51" t="s">
        <v>87</v>
      </c>
      <c r="H117" s="51" t="s">
        <v>27</v>
      </c>
      <c r="I117" s="51" t="s">
        <v>27</v>
      </c>
      <c r="K117" s="1" t="str">
        <f t="shared" si="2"/>
        <v>PawlikAmelia</v>
      </c>
      <c r="M117" s="1">
        <f>COUNTIF($K$2:$K$266,K117)</f>
        <v>1</v>
      </c>
    </row>
    <row r="118" spans="1:13">
      <c r="A118" s="47">
        <f t="shared" si="3"/>
        <v>117</v>
      </c>
      <c r="B118" s="50">
        <v>46167.922222222223</v>
      </c>
      <c r="C118" s="50">
        <v>46167.92291666667</v>
      </c>
      <c r="D118" s="49" t="s">
        <v>462</v>
      </c>
      <c r="E118" s="49" t="s">
        <v>228</v>
      </c>
      <c r="F118" s="49" t="s">
        <v>227</v>
      </c>
      <c r="G118" s="49" t="s">
        <v>87</v>
      </c>
      <c r="H118" s="49" t="s">
        <v>27</v>
      </c>
      <c r="I118" s="49" t="s">
        <v>27</v>
      </c>
      <c r="K118" s="1" t="str">
        <f t="shared" si="2"/>
        <v>KowalikCyprian</v>
      </c>
      <c r="M118" s="1">
        <f>COUNTIF($K$2:$K$266,K118)</f>
        <v>1</v>
      </c>
    </row>
    <row r="119" spans="1:13">
      <c r="A119" s="47">
        <f t="shared" si="3"/>
        <v>118</v>
      </c>
      <c r="B119" s="52">
        <v>46167.928472222222</v>
      </c>
      <c r="C119" s="52">
        <v>46167.929166666669</v>
      </c>
      <c r="D119" s="51" t="s">
        <v>462</v>
      </c>
      <c r="E119" s="51" t="s">
        <v>73</v>
      </c>
      <c r="F119" s="51" t="s">
        <v>229</v>
      </c>
      <c r="G119" s="51" t="s">
        <v>32</v>
      </c>
      <c r="H119" s="51" t="s">
        <v>27</v>
      </c>
      <c r="I119" s="51" t="s">
        <v>27</v>
      </c>
      <c r="K119" s="1" t="str">
        <f t="shared" si="2"/>
        <v>HabelJulia</v>
      </c>
      <c r="M119" s="1">
        <f>COUNTIF($K$2:$K$266,K119)</f>
        <v>1</v>
      </c>
    </row>
    <row r="120" spans="1:13">
      <c r="A120" s="47">
        <f t="shared" si="3"/>
        <v>119</v>
      </c>
      <c r="B120" s="50">
        <v>46167.932638888888</v>
      </c>
      <c r="C120" s="50">
        <v>46167.933333333334</v>
      </c>
      <c r="D120" s="49" t="s">
        <v>462</v>
      </c>
      <c r="E120" s="49" t="s">
        <v>206</v>
      </c>
      <c r="F120" s="49" t="s">
        <v>230</v>
      </c>
      <c r="G120" s="49" t="s">
        <v>113</v>
      </c>
      <c r="H120" s="49" t="s">
        <v>27</v>
      </c>
      <c r="I120" s="49" t="s">
        <v>33</v>
      </c>
      <c r="K120" s="1" t="str">
        <f t="shared" si="2"/>
        <v>DrozdekDominika</v>
      </c>
      <c r="M120" s="1">
        <f>COUNTIF($K$2:$K$266,K120)</f>
        <v>1</v>
      </c>
    </row>
    <row r="121" spans="1:13">
      <c r="A121" s="47">
        <f t="shared" si="3"/>
        <v>120</v>
      </c>
      <c r="B121" s="52">
        <v>46168.370138888888</v>
      </c>
      <c r="C121" s="52">
        <v>46168.370833333334</v>
      </c>
      <c r="D121" s="51" t="s">
        <v>462</v>
      </c>
      <c r="E121" s="51" t="s">
        <v>57</v>
      </c>
      <c r="F121" s="51" t="s">
        <v>232</v>
      </c>
      <c r="G121" s="51" t="s">
        <v>32</v>
      </c>
      <c r="H121" s="51" t="s">
        <v>27</v>
      </c>
      <c r="I121" s="51" t="s">
        <v>27</v>
      </c>
      <c r="K121" s="1" t="str">
        <f t="shared" si="2"/>
        <v>KopkaOliwia</v>
      </c>
      <c r="M121" s="1">
        <f>COUNTIF($K$2:$K$266,K121)</f>
        <v>1</v>
      </c>
    </row>
    <row r="122" spans="1:13">
      <c r="A122" s="47">
        <f t="shared" si="3"/>
        <v>121</v>
      </c>
      <c r="B122" s="50">
        <v>46168.399305555555</v>
      </c>
      <c r="C122" s="50">
        <v>46168.401388888888</v>
      </c>
      <c r="D122" s="49" t="s">
        <v>462</v>
      </c>
      <c r="E122" s="49" t="s">
        <v>46</v>
      </c>
      <c r="F122" s="49" t="s">
        <v>148</v>
      </c>
      <c r="G122" s="49" t="s">
        <v>32</v>
      </c>
      <c r="H122" s="49" t="s">
        <v>27</v>
      </c>
      <c r="I122" s="49" t="s">
        <v>27</v>
      </c>
      <c r="K122" s="1" t="str">
        <f t="shared" si="2"/>
        <v>WróblewskaWeronika</v>
      </c>
      <c r="M122" s="1">
        <f>COUNTIF($K$2:$K$266,K122)</f>
        <v>1</v>
      </c>
    </row>
    <row r="123" spans="1:13">
      <c r="A123" s="47">
        <f t="shared" si="3"/>
        <v>122</v>
      </c>
      <c r="B123" s="50">
        <v>46168.401458333297</v>
      </c>
      <c r="C123" s="50">
        <v>46168.402118055601</v>
      </c>
      <c r="D123" s="49" t="s">
        <v>462</v>
      </c>
      <c r="E123" s="49" t="s">
        <v>59</v>
      </c>
      <c r="F123" s="49" t="s">
        <v>234</v>
      </c>
      <c r="G123" s="49" t="s">
        <v>32</v>
      </c>
      <c r="H123" s="49" t="s">
        <v>27</v>
      </c>
      <c r="I123" s="49" t="s">
        <v>27</v>
      </c>
      <c r="K123" s="1" t="str">
        <f t="shared" si="2"/>
        <v>OścikNatalia</v>
      </c>
      <c r="M123" s="1">
        <f>COUNTIF($K$2:$K$266,K123)</f>
        <v>1</v>
      </c>
    </row>
    <row r="124" spans="1:13">
      <c r="A124" s="47">
        <f t="shared" si="3"/>
        <v>123</v>
      </c>
      <c r="B124" s="52">
        <v>46168.4057060185</v>
      </c>
      <c r="C124" s="52">
        <v>46168.406145833302</v>
      </c>
      <c r="D124" s="51" t="s">
        <v>462</v>
      </c>
      <c r="E124" s="51" t="s">
        <v>131</v>
      </c>
      <c r="F124" s="51" t="s">
        <v>235</v>
      </c>
      <c r="G124" s="51" t="s">
        <v>32</v>
      </c>
      <c r="H124" s="51" t="s">
        <v>27</v>
      </c>
      <c r="I124" s="51" t="s">
        <v>33</v>
      </c>
      <c r="K124" s="1" t="str">
        <f t="shared" si="2"/>
        <v>SmykMichalina</v>
      </c>
      <c r="M124" s="1">
        <f>COUNTIF($K$2:$K$266,K124)</f>
        <v>1</v>
      </c>
    </row>
    <row r="125" spans="1:13">
      <c r="A125" s="47">
        <f t="shared" si="3"/>
        <v>124</v>
      </c>
      <c r="B125" s="50">
        <v>46168.429155092599</v>
      </c>
      <c r="C125" s="50">
        <v>46168.429502314801</v>
      </c>
      <c r="D125" s="49" t="s">
        <v>462</v>
      </c>
      <c r="E125" s="49" t="s">
        <v>178</v>
      </c>
      <c r="F125" s="49" t="s">
        <v>236</v>
      </c>
      <c r="G125" s="49" t="s">
        <v>32</v>
      </c>
      <c r="H125" s="49" t="s">
        <v>27</v>
      </c>
      <c r="I125" s="49" t="s">
        <v>27</v>
      </c>
      <c r="K125" s="1" t="str">
        <f t="shared" si="2"/>
        <v>BorowskiAntoni</v>
      </c>
      <c r="M125" s="1">
        <f>COUNTIF($K$2:$K$266,K125)</f>
        <v>1</v>
      </c>
    </row>
    <row r="126" spans="1:13">
      <c r="A126" s="47">
        <f t="shared" si="3"/>
        <v>125</v>
      </c>
      <c r="B126" s="52">
        <v>46168.4707291667</v>
      </c>
      <c r="C126" s="52">
        <v>46168.470891203702</v>
      </c>
      <c r="D126" s="51" t="s">
        <v>462</v>
      </c>
      <c r="E126" s="51" t="s">
        <v>192</v>
      </c>
      <c r="F126" s="51" t="s">
        <v>237</v>
      </c>
      <c r="G126" s="51" t="s">
        <v>188</v>
      </c>
      <c r="H126" s="51" t="s">
        <v>27</v>
      </c>
      <c r="I126" s="51" t="s">
        <v>27</v>
      </c>
      <c r="K126" s="1" t="str">
        <f>F126&amp;E126</f>
        <v>PosakJulian</v>
      </c>
      <c r="M126" s="1">
        <f>COUNTIF($K$2:$K$266,K126)</f>
        <v>1</v>
      </c>
    </row>
    <row r="127" spans="1:13">
      <c r="A127" s="47">
        <f t="shared" si="3"/>
        <v>126</v>
      </c>
      <c r="B127" s="52">
        <v>46168.471458333297</v>
      </c>
      <c r="C127" s="52">
        <v>46168.472280092603</v>
      </c>
      <c r="D127" s="51" t="s">
        <v>462</v>
      </c>
      <c r="E127" s="51" t="s">
        <v>83</v>
      </c>
      <c r="F127" s="51" t="s">
        <v>238</v>
      </c>
      <c r="G127" s="51" t="s">
        <v>179</v>
      </c>
      <c r="H127" s="51" t="s">
        <v>27</v>
      </c>
      <c r="I127" s="51" t="s">
        <v>27</v>
      </c>
      <c r="K127" s="1" t="str">
        <f>F127&amp;E127</f>
        <v>KędzierskaPaulina</v>
      </c>
      <c r="M127" s="1">
        <f>COUNTIF($K$2:$K$266,K127)</f>
        <v>1</v>
      </c>
    </row>
    <row r="128" spans="1:13">
      <c r="A128" s="47">
        <f t="shared" si="3"/>
        <v>127</v>
      </c>
      <c r="B128" s="52">
        <v>46168.472245370402</v>
      </c>
      <c r="C128" s="52">
        <v>46168.472476851799</v>
      </c>
      <c r="D128" s="51" t="s">
        <v>462</v>
      </c>
      <c r="E128" s="51" t="s">
        <v>63</v>
      </c>
      <c r="F128" s="51" t="s">
        <v>239</v>
      </c>
      <c r="G128" s="51" t="s">
        <v>188</v>
      </c>
      <c r="H128" s="51" t="s">
        <v>27</v>
      </c>
      <c r="I128" s="51" t="s">
        <v>27</v>
      </c>
      <c r="K128" s="1" t="str">
        <f t="shared" ref="K128:K130" si="4">F128&amp;E128</f>
        <v>DomińczykMaja</v>
      </c>
      <c r="M128" s="1">
        <f>COUNTIF($K$2:$K$266,K128)</f>
        <v>1</v>
      </c>
    </row>
    <row r="129" spans="1:13">
      <c r="A129" s="47">
        <f t="shared" si="3"/>
        <v>128</v>
      </c>
      <c r="B129" s="50">
        <v>46168.477291666699</v>
      </c>
      <c r="C129" s="50">
        <v>46168.477511574099</v>
      </c>
      <c r="D129" s="49" t="s">
        <v>462</v>
      </c>
      <c r="E129" s="49" t="s">
        <v>73</v>
      </c>
      <c r="F129" s="49" t="s">
        <v>240</v>
      </c>
      <c r="G129" s="49" t="s">
        <v>188</v>
      </c>
      <c r="H129" s="49" t="s">
        <v>27</v>
      </c>
      <c r="I129" s="49" t="s">
        <v>27</v>
      </c>
      <c r="K129" s="1" t="str">
        <f t="shared" si="4"/>
        <v>LudwinJulia</v>
      </c>
      <c r="M129" s="1">
        <f>COUNTIF($K$2:$K$266,K129)</f>
        <v>1</v>
      </c>
    </row>
    <row r="130" spans="1:13">
      <c r="A130" s="47">
        <f t="shared" si="3"/>
        <v>129</v>
      </c>
      <c r="B130" s="54">
        <v>46168.483692129601</v>
      </c>
      <c r="C130" s="54">
        <v>46168.484293981499</v>
      </c>
      <c r="D130" s="53" t="s">
        <v>462</v>
      </c>
      <c r="E130" s="53" t="s">
        <v>73</v>
      </c>
      <c r="F130" s="53" t="s">
        <v>34</v>
      </c>
      <c r="G130" s="53" t="s">
        <v>188</v>
      </c>
      <c r="H130" s="53" t="s">
        <v>27</v>
      </c>
      <c r="I130" s="53" t="s">
        <v>33</v>
      </c>
      <c r="K130" s="1" t="str">
        <f t="shared" si="4"/>
        <v>HofmanJulia</v>
      </c>
      <c r="M130" s="1">
        <f>COUNTIF($K$2:$K$266,K130)</f>
        <v>1</v>
      </c>
    </row>
    <row r="131" spans="1:13">
      <c r="A131" s="47">
        <f t="shared" si="3"/>
        <v>130</v>
      </c>
      <c r="B131" s="54">
        <v>46168.519490740699</v>
      </c>
      <c r="C131" s="54">
        <v>46168.519641203697</v>
      </c>
      <c r="D131" s="53" t="s">
        <v>462</v>
      </c>
      <c r="E131" s="53" t="s">
        <v>46</v>
      </c>
      <c r="F131" s="53" t="s">
        <v>241</v>
      </c>
      <c r="G131" s="53" t="s">
        <v>87</v>
      </c>
      <c r="H131" s="53" t="s">
        <v>27</v>
      </c>
      <c r="I131" s="53" t="s">
        <v>33</v>
      </c>
      <c r="K131" s="1" t="str">
        <f t="shared" ref="K131" si="5">F131&amp;E131</f>
        <v>MaszczykWeronika</v>
      </c>
      <c r="M131" s="1">
        <f>COUNTIF($K$2:$K$266,K131)</f>
        <v>1</v>
      </c>
    </row>
    <row r="132" spans="1:13">
      <c r="A132" s="47">
        <f t="shared" ref="A132:A195" si="6">A131+1</f>
        <v>131</v>
      </c>
      <c r="B132" s="54">
        <v>46168.583252314798</v>
      </c>
      <c r="C132" s="54">
        <v>46168.583449074104</v>
      </c>
      <c r="D132" s="53" t="s">
        <v>462</v>
      </c>
      <c r="E132" s="53" t="s">
        <v>37</v>
      </c>
      <c r="F132" s="53" t="s">
        <v>242</v>
      </c>
      <c r="G132" s="53" t="s">
        <v>179</v>
      </c>
      <c r="H132" s="53" t="s">
        <v>27</v>
      </c>
      <c r="I132" s="53" t="s">
        <v>27</v>
      </c>
      <c r="K132" s="1" t="str">
        <f>F132&amp;E132</f>
        <v>KnysiakPatrycja</v>
      </c>
      <c r="M132" s="1">
        <f>COUNTIF($K$2:$K$266,K132)</f>
        <v>1</v>
      </c>
    </row>
    <row r="133" spans="1:13">
      <c r="A133" s="47">
        <f t="shared" si="6"/>
        <v>132</v>
      </c>
      <c r="B133" s="54">
        <v>46168.583217592597</v>
      </c>
      <c r="C133" s="54">
        <v>46168.583541666703</v>
      </c>
      <c r="D133" s="53" t="s">
        <v>462</v>
      </c>
      <c r="E133" s="53" t="s">
        <v>244</v>
      </c>
      <c r="F133" s="53" t="s">
        <v>243</v>
      </c>
      <c r="G133" s="53" t="s">
        <v>179</v>
      </c>
      <c r="H133" s="53" t="s">
        <v>27</v>
      </c>
      <c r="I133" s="53" t="s">
        <v>27</v>
      </c>
      <c r="K133" s="1" t="str">
        <f>F133&amp;E133</f>
        <v>SiejkaAdrianna</v>
      </c>
      <c r="M133" s="1">
        <f>COUNTIF($K$2:$K$266,K133)</f>
        <v>1</v>
      </c>
    </row>
    <row r="134" spans="1:13">
      <c r="A134" s="47">
        <f t="shared" si="6"/>
        <v>133</v>
      </c>
      <c r="B134" s="54">
        <v>46168.583136574103</v>
      </c>
      <c r="C134" s="54">
        <v>46168.5835532407</v>
      </c>
      <c r="D134" s="53" t="s">
        <v>462</v>
      </c>
      <c r="E134" s="53" t="s">
        <v>46</v>
      </c>
      <c r="F134" s="53" t="s">
        <v>245</v>
      </c>
      <c r="G134" s="53" t="s">
        <v>179</v>
      </c>
      <c r="H134" s="53" t="s">
        <v>27</v>
      </c>
      <c r="I134" s="53" t="s">
        <v>27</v>
      </c>
      <c r="K134" s="1" t="str">
        <f>F134&amp;E134</f>
        <v>KaziorWeronika</v>
      </c>
      <c r="M134" s="1">
        <f>COUNTIF($K$2:$K$266,K134)</f>
        <v>1</v>
      </c>
    </row>
    <row r="135" spans="1:13">
      <c r="A135" s="47">
        <f t="shared" si="6"/>
        <v>134</v>
      </c>
      <c r="B135" s="54">
        <v>46168.583229166703</v>
      </c>
      <c r="C135" s="54">
        <v>46168.583564814799</v>
      </c>
      <c r="D135" s="53" t="s">
        <v>462</v>
      </c>
      <c r="E135" s="53" t="s">
        <v>29</v>
      </c>
      <c r="F135" s="53" t="s">
        <v>246</v>
      </c>
      <c r="G135" s="53" t="s">
        <v>179</v>
      </c>
      <c r="H135" s="53" t="s">
        <v>27</v>
      </c>
      <c r="I135" s="53" t="s">
        <v>27</v>
      </c>
      <c r="K135" s="1" t="str">
        <f>F135&amp;E135</f>
        <v>SuśMartyna</v>
      </c>
      <c r="M135" s="1">
        <f>COUNTIF($K$2:$K$266,K135)</f>
        <v>1</v>
      </c>
    </row>
    <row r="136" spans="1:13">
      <c r="A136" s="47">
        <f t="shared" si="6"/>
        <v>135</v>
      </c>
      <c r="B136" s="54">
        <v>46168.583425925899</v>
      </c>
      <c r="C136" s="54">
        <v>46168.583634259303</v>
      </c>
      <c r="D136" s="53" t="s">
        <v>462</v>
      </c>
      <c r="E136" s="53" t="s">
        <v>65</v>
      </c>
      <c r="F136" s="53" t="s">
        <v>174</v>
      </c>
      <c r="G136" s="53" t="s">
        <v>179</v>
      </c>
      <c r="H136" s="53" t="s">
        <v>27</v>
      </c>
      <c r="I136" s="53" t="s">
        <v>27</v>
      </c>
      <c r="K136" s="1" t="str">
        <f>F136&amp;E136</f>
        <v>WieczorekNikola</v>
      </c>
      <c r="M136" s="1">
        <f>COUNTIF($K$2:$K$266,K136)</f>
        <v>1</v>
      </c>
    </row>
    <row r="137" spans="1:13">
      <c r="A137" s="47">
        <f t="shared" si="6"/>
        <v>136</v>
      </c>
      <c r="B137" s="54">
        <v>46168.583182870403</v>
      </c>
      <c r="C137" s="54">
        <v>46168.584340277797</v>
      </c>
      <c r="D137" s="53" t="s">
        <v>462</v>
      </c>
      <c r="E137" s="53" t="s">
        <v>248</v>
      </c>
      <c r="F137" s="53" t="s">
        <v>247</v>
      </c>
      <c r="G137" s="53" t="s">
        <v>179</v>
      </c>
      <c r="H137" s="53" t="s">
        <v>27</v>
      </c>
      <c r="I137" s="53" t="s">
        <v>27</v>
      </c>
      <c r="K137" s="1" t="str">
        <f>F137&amp;E137</f>
        <v>CzarneckaDagmara</v>
      </c>
      <c r="M137" s="1">
        <f>COUNTIF($K$2:$K$266,K137)</f>
        <v>1</v>
      </c>
    </row>
    <row r="138" spans="1:13">
      <c r="A138" s="47">
        <f t="shared" si="6"/>
        <v>137</v>
      </c>
      <c r="B138" s="54">
        <v>46168.584201388898</v>
      </c>
      <c r="C138" s="54">
        <v>46168.5844560185</v>
      </c>
      <c r="D138" s="53" t="s">
        <v>462</v>
      </c>
      <c r="E138" s="53" t="s">
        <v>63</v>
      </c>
      <c r="F138" s="53" t="s">
        <v>249</v>
      </c>
      <c r="G138" s="53" t="s">
        <v>179</v>
      </c>
      <c r="H138" s="53" t="s">
        <v>27</v>
      </c>
      <c r="I138" s="53" t="s">
        <v>27</v>
      </c>
      <c r="K138" s="1" t="str">
        <f>F138&amp;E138</f>
        <v>ZielińskaMaja</v>
      </c>
      <c r="M138" s="1">
        <f>COUNTIF($K$2:$K$266,K138)</f>
        <v>1</v>
      </c>
    </row>
    <row r="139" spans="1:13">
      <c r="A139" s="47">
        <f t="shared" si="6"/>
        <v>138</v>
      </c>
      <c r="B139" s="54">
        <v>46168.585335648197</v>
      </c>
      <c r="C139" s="54">
        <v>46168.586053240702</v>
      </c>
      <c r="D139" s="53" t="s">
        <v>462</v>
      </c>
      <c r="E139" s="53" t="s">
        <v>59</v>
      </c>
      <c r="F139" s="53" t="s">
        <v>250</v>
      </c>
      <c r="G139" s="53" t="s">
        <v>179</v>
      </c>
      <c r="H139" s="53" t="s">
        <v>27</v>
      </c>
      <c r="I139" s="53" t="s">
        <v>27</v>
      </c>
      <c r="K139" s="1" t="str">
        <f>F139&amp;E139</f>
        <v>GoździkowskaNatalia</v>
      </c>
      <c r="M139" s="1">
        <f>COUNTIF($K$2:$K$266,K139)</f>
        <v>1</v>
      </c>
    </row>
    <row r="140" spans="1:13">
      <c r="A140" s="47">
        <f t="shared" si="6"/>
        <v>139</v>
      </c>
      <c r="B140" s="54">
        <v>46168.5858449074</v>
      </c>
      <c r="C140" s="54">
        <v>46168.586192129602</v>
      </c>
      <c r="D140" s="53" t="s">
        <v>462</v>
      </c>
      <c r="E140" s="53" t="s">
        <v>78</v>
      </c>
      <c r="F140" s="53" t="s">
        <v>251</v>
      </c>
      <c r="G140" s="53" t="s">
        <v>179</v>
      </c>
      <c r="H140" s="53" t="s">
        <v>27</v>
      </c>
      <c r="I140" s="53" t="s">
        <v>27</v>
      </c>
      <c r="K140" s="1" t="str">
        <f>F140&amp;E140</f>
        <v>MajkowskaZuzanna</v>
      </c>
      <c r="M140" s="1">
        <f>COUNTIF($K$2:$K$266,K140)</f>
        <v>1</v>
      </c>
    </row>
    <row r="141" spans="1:13">
      <c r="A141" s="47">
        <f t="shared" si="6"/>
        <v>140</v>
      </c>
      <c r="B141" s="54">
        <v>46168.587731481501</v>
      </c>
      <c r="C141" s="54">
        <v>46168.588125000002</v>
      </c>
      <c r="D141" s="53" t="s">
        <v>462</v>
      </c>
      <c r="E141" s="53" t="s">
        <v>73</v>
      </c>
      <c r="F141" s="53" t="s">
        <v>252</v>
      </c>
      <c r="G141" s="53" t="s">
        <v>179</v>
      </c>
      <c r="H141" s="53" t="s">
        <v>27</v>
      </c>
      <c r="I141" s="53" t="s">
        <v>27</v>
      </c>
      <c r="K141" s="1" t="str">
        <f>F141&amp;E141</f>
        <v>MichalskaJulia</v>
      </c>
      <c r="M141" s="1">
        <f>COUNTIF($K$2:$K$266,K141)</f>
        <v>1</v>
      </c>
    </row>
    <row r="142" spans="1:13">
      <c r="A142" s="47">
        <f t="shared" si="6"/>
        <v>141</v>
      </c>
      <c r="B142" s="54">
        <v>46168.589398148099</v>
      </c>
      <c r="C142" s="54">
        <v>46168.589942129598</v>
      </c>
      <c r="D142" s="53" t="s">
        <v>462</v>
      </c>
      <c r="E142" s="53" t="s">
        <v>35</v>
      </c>
      <c r="F142" s="53" t="s">
        <v>253</v>
      </c>
      <c r="G142" s="53" t="s">
        <v>179</v>
      </c>
      <c r="H142" s="53" t="s">
        <v>27</v>
      </c>
      <c r="I142" s="53" t="s">
        <v>33</v>
      </c>
      <c r="K142" s="1" t="str">
        <f>F142&amp;E142</f>
        <v>GrzybowskaAleksandra</v>
      </c>
      <c r="M142" s="1">
        <f>COUNTIF($K$2:$K$266,K142)</f>
        <v>1</v>
      </c>
    </row>
    <row r="143" spans="1:13">
      <c r="A143" s="47">
        <f t="shared" si="6"/>
        <v>142</v>
      </c>
      <c r="B143" s="54">
        <v>46168.592858796299</v>
      </c>
      <c r="C143" s="54">
        <v>46168.593043981498</v>
      </c>
      <c r="D143" s="53" t="s">
        <v>462</v>
      </c>
      <c r="E143" s="53" t="s">
        <v>31</v>
      </c>
      <c r="F143" s="53" t="s">
        <v>254</v>
      </c>
      <c r="G143" s="53" t="s">
        <v>32</v>
      </c>
      <c r="H143" s="53" t="s">
        <v>27</v>
      </c>
      <c r="I143" s="53" t="s">
        <v>27</v>
      </c>
      <c r="K143" s="1" t="str">
        <f>F143&amp;E143</f>
        <v>GurazdaMikołaj</v>
      </c>
      <c r="M143" s="1">
        <f>COUNTIF($K$2:$K$266,K143)</f>
        <v>1</v>
      </c>
    </row>
    <row r="144" spans="1:13">
      <c r="A144" s="47">
        <f t="shared" si="6"/>
        <v>143</v>
      </c>
      <c r="B144" s="54">
        <v>46168.594791666699</v>
      </c>
      <c r="C144" s="54">
        <v>46168.595381944397</v>
      </c>
      <c r="D144" s="53" t="s">
        <v>462</v>
      </c>
      <c r="E144" s="53" t="s">
        <v>73</v>
      </c>
      <c r="F144" s="53" t="s">
        <v>255</v>
      </c>
      <c r="G144" s="53" t="s">
        <v>179</v>
      </c>
      <c r="H144" s="53" t="s">
        <v>27</v>
      </c>
      <c r="I144" s="53" t="s">
        <v>27</v>
      </c>
      <c r="K144" s="1" t="str">
        <f>F144&amp;E144</f>
        <v>NiebelskaJulia</v>
      </c>
      <c r="M144" s="1">
        <f>COUNTIF($K$2:$K$266,K144)</f>
        <v>1</v>
      </c>
    </row>
    <row r="145" spans="1:13">
      <c r="A145" s="47">
        <f t="shared" si="6"/>
        <v>144</v>
      </c>
      <c r="B145" s="54">
        <v>46168.606909722199</v>
      </c>
      <c r="C145" s="54">
        <v>46168.607453703698</v>
      </c>
      <c r="D145" s="53" t="s">
        <v>462</v>
      </c>
      <c r="E145" s="53" t="s">
        <v>257</v>
      </c>
      <c r="F145" s="53" t="s">
        <v>256</v>
      </c>
      <c r="G145" s="53" t="s">
        <v>179</v>
      </c>
      <c r="H145" s="53" t="s">
        <v>27</v>
      </c>
      <c r="I145" s="53" t="s">
        <v>27</v>
      </c>
      <c r="K145" s="1" t="str">
        <f>F145&amp;E145</f>
        <v>ZwierzyńskaKinga</v>
      </c>
      <c r="M145" s="1">
        <f>COUNTIF($K$2:$K$266,K145)</f>
        <v>1</v>
      </c>
    </row>
    <row r="146" spans="1:13">
      <c r="A146" s="47">
        <f t="shared" si="6"/>
        <v>145</v>
      </c>
      <c r="B146" s="54">
        <v>46168.627916666701</v>
      </c>
      <c r="C146" s="54">
        <v>46168.629259259302</v>
      </c>
      <c r="D146" s="53" t="s">
        <v>462</v>
      </c>
      <c r="E146" s="53" t="s">
        <v>73</v>
      </c>
      <c r="F146" s="53" t="s">
        <v>258</v>
      </c>
      <c r="G146" s="53" t="s">
        <v>179</v>
      </c>
      <c r="H146" s="53" t="s">
        <v>27</v>
      </c>
      <c r="I146" s="53" t="s">
        <v>27</v>
      </c>
      <c r="K146" s="1" t="str">
        <f>F146&amp;E146</f>
        <v>KrauzeJulia</v>
      </c>
      <c r="M146" s="1">
        <f>COUNTIF($K$2:$K$266,K146)</f>
        <v>1</v>
      </c>
    </row>
    <row r="147" spans="1:13">
      <c r="A147" s="47">
        <f t="shared" si="6"/>
        <v>146</v>
      </c>
      <c r="B147" s="54">
        <v>46168.648715277799</v>
      </c>
      <c r="C147" s="54">
        <v>46168.648854166699</v>
      </c>
      <c r="D147" s="53" t="s">
        <v>462</v>
      </c>
      <c r="E147" s="53" t="s">
        <v>35</v>
      </c>
      <c r="F147" s="53" t="s">
        <v>259</v>
      </c>
      <c r="G147" s="53" t="s">
        <v>179</v>
      </c>
      <c r="H147" s="53" t="s">
        <v>27</v>
      </c>
      <c r="I147" s="53" t="s">
        <v>27</v>
      </c>
      <c r="K147" s="1" t="str">
        <f>F147&amp;E147</f>
        <v>NocuńAleksandra</v>
      </c>
      <c r="M147" s="1">
        <f>COUNTIF($K$2:$K$266,K147)</f>
        <v>1</v>
      </c>
    </row>
    <row r="148" spans="1:13">
      <c r="A148" s="47">
        <f t="shared" si="6"/>
        <v>147</v>
      </c>
      <c r="B148" s="54">
        <v>46168.649780092601</v>
      </c>
      <c r="C148" s="54">
        <v>46168.650486111103</v>
      </c>
      <c r="D148" s="53" t="s">
        <v>462</v>
      </c>
      <c r="E148" s="53" t="s">
        <v>173</v>
      </c>
      <c r="F148" s="53" t="s">
        <v>72</v>
      </c>
      <c r="G148" s="53" t="s">
        <v>188</v>
      </c>
      <c r="H148" s="53" t="s">
        <v>27</v>
      </c>
      <c r="I148" s="53" t="s">
        <v>33</v>
      </c>
      <c r="K148" s="1" t="str">
        <f>F148&amp;E148</f>
        <v>WinklerFilip</v>
      </c>
      <c r="M148" s="1">
        <f>COUNTIF($K$2:$K$266,K148)</f>
        <v>1</v>
      </c>
    </row>
    <row r="149" spans="1:13">
      <c r="A149" s="47">
        <f t="shared" si="6"/>
        <v>148</v>
      </c>
      <c r="B149" s="54">
        <v>46168.655300925901</v>
      </c>
      <c r="C149" s="54">
        <v>46168.655462962997</v>
      </c>
      <c r="D149" s="53" t="s">
        <v>462</v>
      </c>
      <c r="E149" s="53" t="s">
        <v>29</v>
      </c>
      <c r="F149" s="53" t="s">
        <v>260</v>
      </c>
      <c r="G149" s="53" t="s">
        <v>32</v>
      </c>
      <c r="H149" s="53" t="s">
        <v>27</v>
      </c>
      <c r="I149" s="53" t="s">
        <v>33</v>
      </c>
      <c r="K149" s="1" t="str">
        <f>F149&amp;E149</f>
        <v>MentekMartyna</v>
      </c>
      <c r="M149" s="1">
        <f>COUNTIF($K$2:$K$266,K149)</f>
        <v>1</v>
      </c>
    </row>
    <row r="150" spans="1:13">
      <c r="A150" s="47">
        <f t="shared" si="6"/>
        <v>149</v>
      </c>
      <c r="B150" s="54">
        <v>46168.667847222197</v>
      </c>
      <c r="C150" s="54">
        <v>46168.668182870402</v>
      </c>
      <c r="D150" s="53" t="s">
        <v>462</v>
      </c>
      <c r="E150" s="53" t="s">
        <v>262</v>
      </c>
      <c r="F150" s="53" t="s">
        <v>261</v>
      </c>
      <c r="G150" s="53" t="s">
        <v>179</v>
      </c>
      <c r="H150" s="53" t="s">
        <v>27</v>
      </c>
      <c r="I150" s="53" t="s">
        <v>27</v>
      </c>
      <c r="K150" s="1" t="str">
        <f>F150&amp;E150</f>
        <v>JabłeckaAlicja</v>
      </c>
      <c r="M150" s="1">
        <f>COUNTIF($K$2:$K$266,K150)</f>
        <v>1</v>
      </c>
    </row>
    <row r="151" spans="1:13">
      <c r="A151" s="47">
        <f t="shared" si="6"/>
        <v>150</v>
      </c>
      <c r="B151" s="54">
        <v>46168.689201388901</v>
      </c>
      <c r="C151" s="54">
        <v>46168.689687500002</v>
      </c>
      <c r="D151" s="53" t="s">
        <v>462</v>
      </c>
      <c r="E151" s="53" t="s">
        <v>263</v>
      </c>
      <c r="F151" s="53" t="s">
        <v>86</v>
      </c>
      <c r="G151" s="53" t="s">
        <v>87</v>
      </c>
      <c r="H151" s="53" t="s">
        <v>27</v>
      </c>
      <c r="I151" s="53" t="s">
        <v>33</v>
      </c>
      <c r="K151" s="1" t="str">
        <f>F151&amp;E151</f>
        <v>KowalczykMarcin</v>
      </c>
      <c r="M151" s="1">
        <f>COUNTIF($K$2:$K$266,K151)</f>
        <v>1</v>
      </c>
    </row>
    <row r="152" spans="1:13">
      <c r="A152" s="47">
        <f t="shared" si="6"/>
        <v>151</v>
      </c>
      <c r="B152" s="54">
        <v>46168.709016203698</v>
      </c>
      <c r="C152" s="54">
        <v>46168.709189814799</v>
      </c>
      <c r="D152" s="53" t="s">
        <v>462</v>
      </c>
      <c r="E152" s="53" t="s">
        <v>264</v>
      </c>
      <c r="F152" s="53" t="s">
        <v>160</v>
      </c>
      <c r="G152" s="53" t="s">
        <v>53</v>
      </c>
      <c r="H152" s="53" t="s">
        <v>27</v>
      </c>
      <c r="I152" s="53" t="s">
        <v>33</v>
      </c>
      <c r="K152" s="1" t="str">
        <f>F152&amp;E152</f>
        <v>PioruńskiOliwer</v>
      </c>
      <c r="M152" s="1">
        <f>COUNTIF($K$2:$K$266,K152)</f>
        <v>1</v>
      </c>
    </row>
    <row r="153" spans="1:13">
      <c r="A153" s="47">
        <f t="shared" si="6"/>
        <v>152</v>
      </c>
      <c r="B153" s="54">
        <v>46168.7420949074</v>
      </c>
      <c r="C153" s="54">
        <v>46168.742303240702</v>
      </c>
      <c r="D153" s="53" t="s">
        <v>462</v>
      </c>
      <c r="E153" s="53" t="s">
        <v>266</v>
      </c>
      <c r="F153" s="53" t="s">
        <v>265</v>
      </c>
      <c r="G153" s="53" t="s">
        <v>179</v>
      </c>
      <c r="H153" s="53" t="s">
        <v>27</v>
      </c>
      <c r="I153" s="53" t="s">
        <v>27</v>
      </c>
      <c r="K153" s="1" t="str">
        <f>F153&amp;E153</f>
        <v>MaligłówkaKamila</v>
      </c>
      <c r="M153" s="1">
        <f>COUNTIF($K$2:$K$266,K153)</f>
        <v>1</v>
      </c>
    </row>
    <row r="154" spans="1:13">
      <c r="A154" s="47">
        <f t="shared" si="6"/>
        <v>153</v>
      </c>
      <c r="B154" s="54">
        <v>46168.7725347222</v>
      </c>
      <c r="C154" s="54">
        <v>46168.772951388899</v>
      </c>
      <c r="D154" s="53" t="s">
        <v>462</v>
      </c>
      <c r="E154" s="53" t="s">
        <v>173</v>
      </c>
      <c r="F154" s="53" t="s">
        <v>267</v>
      </c>
      <c r="G154" s="53" t="s">
        <v>32</v>
      </c>
      <c r="H154" s="53" t="s">
        <v>27</v>
      </c>
      <c r="I154" s="53" t="s">
        <v>27</v>
      </c>
      <c r="K154" s="1" t="str">
        <f>F154&amp;E154</f>
        <v>SkupińskiFilip</v>
      </c>
      <c r="M154" s="1">
        <f>COUNTIF($K$2:$K$266,K154)</f>
        <v>1</v>
      </c>
    </row>
    <row r="155" spans="1:13">
      <c r="A155" s="47">
        <f t="shared" si="6"/>
        <v>154</v>
      </c>
      <c r="B155" s="54">
        <v>46168.791956018496</v>
      </c>
      <c r="C155" s="54">
        <v>46168.792337963001</v>
      </c>
      <c r="D155" s="53" t="s">
        <v>462</v>
      </c>
      <c r="E155" s="53" t="s">
        <v>471</v>
      </c>
      <c r="F155" s="53" t="s">
        <v>196</v>
      </c>
      <c r="G155" s="53" t="s">
        <v>188</v>
      </c>
      <c r="H155" s="53" t="s">
        <v>27</v>
      </c>
      <c r="I155" s="53" t="s">
        <v>27</v>
      </c>
      <c r="K155" s="1" t="str">
        <f>F155&amp;E155</f>
        <v>ZaskórskiBartłomiej</v>
      </c>
      <c r="M155" s="1">
        <f>COUNTIF($K$2:$K$266,K155)</f>
        <v>1</v>
      </c>
    </row>
    <row r="156" spans="1:13">
      <c r="A156" s="47">
        <f t="shared" si="6"/>
        <v>155</v>
      </c>
      <c r="B156" s="54">
        <v>46168.7949884259</v>
      </c>
      <c r="C156" s="54">
        <v>46168.795405092598</v>
      </c>
      <c r="D156" s="53" t="s">
        <v>462</v>
      </c>
      <c r="E156" s="53" t="s">
        <v>67</v>
      </c>
      <c r="F156" s="53" t="s">
        <v>269</v>
      </c>
      <c r="G156" s="53" t="s">
        <v>179</v>
      </c>
      <c r="H156" s="53" t="s">
        <v>33</v>
      </c>
      <c r="I156" s="53" t="s">
        <v>33</v>
      </c>
      <c r="K156" s="1" t="str">
        <f>F156&amp;E156</f>
        <v>BorowiecIga</v>
      </c>
      <c r="M156" s="1">
        <f>COUNTIF($K$2:$K$266,K156)</f>
        <v>1</v>
      </c>
    </row>
    <row r="157" spans="1:13">
      <c r="A157" s="47">
        <f t="shared" si="6"/>
        <v>156</v>
      </c>
      <c r="B157" s="54">
        <v>46168.804490740702</v>
      </c>
      <c r="C157" s="54">
        <v>46168.804918981499</v>
      </c>
      <c r="D157" s="53" t="s">
        <v>462</v>
      </c>
      <c r="E157" s="53" t="s">
        <v>29</v>
      </c>
      <c r="F157" s="53" t="s">
        <v>270</v>
      </c>
      <c r="G157" s="53" t="s">
        <v>179</v>
      </c>
      <c r="H157" s="53" t="s">
        <v>27</v>
      </c>
      <c r="I157" s="53" t="s">
        <v>33</v>
      </c>
      <c r="K157" s="1" t="str">
        <f>F157&amp;E157</f>
        <v>KopcikMartyna</v>
      </c>
      <c r="M157" s="1">
        <f>COUNTIF($K$2:$K$266,K157)</f>
        <v>1</v>
      </c>
    </row>
    <row r="158" spans="1:13">
      <c r="A158" s="47">
        <f t="shared" si="6"/>
        <v>157</v>
      </c>
      <c r="B158" s="54">
        <v>46169.368530092601</v>
      </c>
      <c r="C158" s="54">
        <v>46169.368923611102</v>
      </c>
      <c r="D158" s="53" t="s">
        <v>462</v>
      </c>
      <c r="E158" s="53" t="s">
        <v>272</v>
      </c>
      <c r="F158" s="53" t="s">
        <v>271</v>
      </c>
      <c r="G158" s="53" t="s">
        <v>87</v>
      </c>
      <c r="H158" s="53" t="s">
        <v>27</v>
      </c>
      <c r="I158" s="53" t="s">
        <v>33</v>
      </c>
      <c r="K158" s="1" t="str">
        <f>F158&amp;E158</f>
        <v>DratwińskiHubert</v>
      </c>
      <c r="M158" s="1">
        <f>COUNTIF($K$2:$K$266,K158)</f>
        <v>1</v>
      </c>
    </row>
    <row r="159" spans="1:13">
      <c r="A159" s="47">
        <f t="shared" si="6"/>
        <v>158</v>
      </c>
      <c r="B159" s="54">
        <v>46169.369131944397</v>
      </c>
      <c r="C159" s="54">
        <v>46169.369375000002</v>
      </c>
      <c r="D159" s="53" t="s">
        <v>462</v>
      </c>
      <c r="E159" s="53" t="s">
        <v>80</v>
      </c>
      <c r="F159" s="53" t="s">
        <v>273</v>
      </c>
      <c r="G159" s="53" t="s">
        <v>113</v>
      </c>
      <c r="H159" s="53" t="s">
        <v>27</v>
      </c>
      <c r="I159" s="53" t="s">
        <v>33</v>
      </c>
      <c r="K159" s="1" t="str">
        <f>F159&amp;E159</f>
        <v>WtorkowskiSzymon</v>
      </c>
      <c r="M159" s="1">
        <f>COUNTIF($K$2:$K$266,K159)</f>
        <v>1</v>
      </c>
    </row>
    <row r="160" spans="1:13">
      <c r="A160" s="47">
        <f t="shared" si="6"/>
        <v>159</v>
      </c>
      <c r="B160" s="54">
        <v>46169.368969907402</v>
      </c>
      <c r="C160" s="54">
        <v>46169.369444444397</v>
      </c>
      <c r="D160" s="53" t="s">
        <v>462</v>
      </c>
      <c r="E160" s="53" t="s">
        <v>37</v>
      </c>
      <c r="F160" s="53" t="s">
        <v>154</v>
      </c>
      <c r="G160" s="53" t="s">
        <v>113</v>
      </c>
      <c r="H160" s="53" t="s">
        <v>27</v>
      </c>
      <c r="I160" s="53" t="s">
        <v>33</v>
      </c>
      <c r="K160" s="1" t="str">
        <f>F160&amp;E160</f>
        <v>MielczarekPatrycja</v>
      </c>
      <c r="M160" s="1">
        <f>COUNTIF($K$2:$K$266,K160)</f>
        <v>1</v>
      </c>
    </row>
    <row r="161" spans="1:13">
      <c r="A161" s="47">
        <f t="shared" si="6"/>
        <v>160</v>
      </c>
      <c r="B161" s="54">
        <v>46169.371145833298</v>
      </c>
      <c r="C161" s="54">
        <v>46169.371342592603</v>
      </c>
      <c r="D161" s="53" t="s">
        <v>462</v>
      </c>
      <c r="E161" s="53" t="s">
        <v>226</v>
      </c>
      <c r="F161" s="53" t="s">
        <v>86</v>
      </c>
      <c r="G161" s="53" t="s">
        <v>87</v>
      </c>
      <c r="H161" s="53" t="s">
        <v>27</v>
      </c>
      <c r="I161" s="53" t="s">
        <v>27</v>
      </c>
      <c r="K161" s="1" t="str">
        <f>F161&amp;E161</f>
        <v>KowalczykAmelia</v>
      </c>
      <c r="M161" s="1">
        <f>COUNTIF($K$2:$K$266,K161)</f>
        <v>1</v>
      </c>
    </row>
    <row r="162" spans="1:13">
      <c r="A162" s="47">
        <f t="shared" si="6"/>
        <v>161</v>
      </c>
      <c r="B162" s="54">
        <v>46169.397210648203</v>
      </c>
      <c r="C162" s="54">
        <v>46169.3975347222</v>
      </c>
      <c r="D162" s="53" t="s">
        <v>462</v>
      </c>
      <c r="E162" s="53" t="s">
        <v>73</v>
      </c>
      <c r="F162" s="53" t="s">
        <v>274</v>
      </c>
      <c r="G162" s="53" t="s">
        <v>113</v>
      </c>
      <c r="H162" s="53" t="s">
        <v>27</v>
      </c>
      <c r="I162" s="53" t="s">
        <v>27</v>
      </c>
      <c r="K162" s="1" t="str">
        <f>F162&amp;E162</f>
        <v>ZawadzkaJulia</v>
      </c>
      <c r="M162" s="1">
        <f>COUNTIF($K$2:$K$266,K162)</f>
        <v>1</v>
      </c>
    </row>
    <row r="163" spans="1:13">
      <c r="A163" s="47">
        <f t="shared" si="6"/>
        <v>162</v>
      </c>
      <c r="B163" s="54">
        <v>46169.402268518497</v>
      </c>
      <c r="C163" s="54">
        <v>46169.402523148201</v>
      </c>
      <c r="D163" s="53" t="s">
        <v>462</v>
      </c>
      <c r="E163" s="53" t="s">
        <v>44</v>
      </c>
      <c r="F163" s="53" t="s">
        <v>275</v>
      </c>
      <c r="G163" s="53" t="s">
        <v>113</v>
      </c>
      <c r="H163" s="53" t="s">
        <v>27</v>
      </c>
      <c r="I163" s="53" t="s">
        <v>33</v>
      </c>
      <c r="K163" s="1" t="str">
        <f>F163&amp;E163</f>
        <v>SzablewskiJakub</v>
      </c>
      <c r="M163" s="1">
        <f>COUNTIF($K$2:$K$266,K163)</f>
        <v>1</v>
      </c>
    </row>
    <row r="164" spans="1:13">
      <c r="A164" s="47">
        <f t="shared" si="6"/>
        <v>163</v>
      </c>
      <c r="B164" s="54">
        <v>46169.409456018497</v>
      </c>
      <c r="C164" s="54">
        <v>46169.409618055601</v>
      </c>
      <c r="D164" s="53" t="s">
        <v>462</v>
      </c>
      <c r="E164" s="53" t="s">
        <v>29</v>
      </c>
      <c r="F164" s="53" t="s">
        <v>277</v>
      </c>
      <c r="G164" s="53" t="s">
        <v>53</v>
      </c>
      <c r="H164" s="53" t="s">
        <v>27</v>
      </c>
      <c r="I164" s="53" t="s">
        <v>33</v>
      </c>
      <c r="K164" s="1" t="str">
        <f>F164&amp;E164</f>
        <v>PlutaMartyna</v>
      </c>
      <c r="M164" s="1">
        <f>COUNTIF($K$2:$K$266,K164)</f>
        <v>1</v>
      </c>
    </row>
    <row r="165" spans="1:13">
      <c r="A165" s="47">
        <f t="shared" si="6"/>
        <v>164</v>
      </c>
      <c r="B165" s="54">
        <v>46169.409976851799</v>
      </c>
      <c r="C165" s="54">
        <v>46169.410289351901</v>
      </c>
      <c r="D165" s="53" t="s">
        <v>462</v>
      </c>
      <c r="E165" s="53" t="s">
        <v>279</v>
      </c>
      <c r="F165" s="53" t="s">
        <v>278</v>
      </c>
      <c r="G165" s="53" t="s">
        <v>53</v>
      </c>
      <c r="H165" s="53" t="s">
        <v>27</v>
      </c>
      <c r="I165" s="53" t="s">
        <v>27</v>
      </c>
      <c r="K165" s="1" t="str">
        <f>F165&amp;E165</f>
        <v>MazurAda</v>
      </c>
      <c r="M165" s="1">
        <f>COUNTIF($K$2:$K$266,K165)</f>
        <v>1</v>
      </c>
    </row>
    <row r="166" spans="1:13">
      <c r="A166" s="47">
        <f t="shared" si="6"/>
        <v>165</v>
      </c>
      <c r="B166" s="54">
        <v>46169.4984259259</v>
      </c>
      <c r="C166" s="54">
        <v>46169.499108796299</v>
      </c>
      <c r="D166" s="53" t="s">
        <v>462</v>
      </c>
      <c r="E166" s="53" t="s">
        <v>73</v>
      </c>
      <c r="F166" s="53" t="s">
        <v>280</v>
      </c>
      <c r="G166" s="53" t="s">
        <v>53</v>
      </c>
      <c r="H166" s="53" t="s">
        <v>27</v>
      </c>
      <c r="I166" s="53" t="s">
        <v>33</v>
      </c>
      <c r="K166" s="1" t="str">
        <f>F166&amp;E166</f>
        <v>SzustakiewiczJulia</v>
      </c>
      <c r="M166" s="1">
        <f>COUNTIF($K$2:$K$266,K166)</f>
        <v>1</v>
      </c>
    </row>
    <row r="167" spans="1:13">
      <c r="A167" s="47">
        <f t="shared" si="6"/>
        <v>166</v>
      </c>
      <c r="B167" s="54">
        <v>46169.5077662037</v>
      </c>
      <c r="C167" s="54">
        <v>46169.5080787037</v>
      </c>
      <c r="D167" s="53" t="s">
        <v>462</v>
      </c>
      <c r="E167" s="53" t="s">
        <v>39</v>
      </c>
      <c r="F167" s="53" t="s">
        <v>281</v>
      </c>
      <c r="G167" s="53" t="s">
        <v>188</v>
      </c>
      <c r="H167" s="53" t="s">
        <v>27</v>
      </c>
      <c r="I167" s="53" t="s">
        <v>27</v>
      </c>
      <c r="K167" s="1" t="str">
        <f>F167&amp;E167</f>
        <v>BanaszczykLena</v>
      </c>
      <c r="M167" s="1">
        <f>COUNTIF($K$2:$K$266,K167)</f>
        <v>1</v>
      </c>
    </row>
    <row r="168" spans="1:13">
      <c r="A168" s="47">
        <f t="shared" si="6"/>
        <v>167</v>
      </c>
      <c r="B168" s="54">
        <v>46169.574212963002</v>
      </c>
      <c r="C168" s="54">
        <v>46169.574502314797</v>
      </c>
      <c r="D168" s="53" t="s">
        <v>462</v>
      </c>
      <c r="E168" s="53" t="s">
        <v>63</v>
      </c>
      <c r="F168" s="53" t="s">
        <v>282</v>
      </c>
      <c r="G168" s="53" t="s">
        <v>113</v>
      </c>
      <c r="H168" s="53" t="s">
        <v>27</v>
      </c>
      <c r="I168" s="53" t="s">
        <v>33</v>
      </c>
      <c r="K168" s="1" t="str">
        <f>F168&amp;E168</f>
        <v>PlucińskaMaja</v>
      </c>
      <c r="M168" s="1">
        <f>COUNTIF($K$2:$K$266,K168)</f>
        <v>1</v>
      </c>
    </row>
    <row r="169" spans="1:13">
      <c r="A169" s="47">
        <f t="shared" si="6"/>
        <v>168</v>
      </c>
      <c r="B169" s="54">
        <v>46169.671770833302</v>
      </c>
      <c r="C169" s="54">
        <v>46169.6722800926</v>
      </c>
      <c r="D169" s="53" t="s">
        <v>462</v>
      </c>
      <c r="E169" s="53" t="s">
        <v>284</v>
      </c>
      <c r="F169" s="53" t="s">
        <v>283</v>
      </c>
      <c r="G169" s="53" t="s">
        <v>26</v>
      </c>
      <c r="H169" s="53" t="s">
        <v>33</v>
      </c>
      <c r="I169" s="53" t="s">
        <v>33</v>
      </c>
      <c r="K169" s="1" t="str">
        <f t="shared" ref="K169:K204" si="7">F169&amp;E169</f>
        <v>DzięgowskaJoanna</v>
      </c>
      <c r="M169" s="1">
        <f>COUNTIF($K$2:$K$266,K169)</f>
        <v>1</v>
      </c>
    </row>
    <row r="170" spans="1:13">
      <c r="A170" s="47">
        <f t="shared" si="6"/>
        <v>169</v>
      </c>
      <c r="B170" s="54">
        <v>46169.6746180556</v>
      </c>
      <c r="C170" s="54">
        <v>46169.674780092602</v>
      </c>
      <c r="D170" s="53" t="s">
        <v>462</v>
      </c>
      <c r="E170" s="53" t="s">
        <v>286</v>
      </c>
      <c r="F170" s="53" t="s">
        <v>285</v>
      </c>
      <c r="G170" s="53" t="s">
        <v>26</v>
      </c>
      <c r="H170" s="53" t="s">
        <v>27</v>
      </c>
      <c r="I170" s="53" t="s">
        <v>27</v>
      </c>
      <c r="K170" s="1" t="str">
        <f t="shared" si="7"/>
        <v>DudzicOliwier</v>
      </c>
      <c r="M170" s="1">
        <f>COUNTIF($K$2:$K$266,K170)</f>
        <v>1</v>
      </c>
    </row>
    <row r="171" spans="1:13">
      <c r="A171" s="47">
        <f t="shared" si="6"/>
        <v>170</v>
      </c>
      <c r="B171" s="54">
        <v>46169.6819791667</v>
      </c>
      <c r="C171" s="54">
        <v>46169.682210648098</v>
      </c>
      <c r="D171" s="53" t="s">
        <v>462</v>
      </c>
      <c r="E171" s="53" t="s">
        <v>57</v>
      </c>
      <c r="F171" s="53" t="s">
        <v>288</v>
      </c>
      <c r="G171" s="53" t="s">
        <v>26</v>
      </c>
      <c r="H171" s="53" t="s">
        <v>27</v>
      </c>
      <c r="I171" s="53" t="s">
        <v>27</v>
      </c>
      <c r="K171" s="1" t="str">
        <f t="shared" si="7"/>
        <v>AndrzejczykOliwia</v>
      </c>
      <c r="M171" s="1">
        <f>COUNTIF($K$2:$K$266,K171)</f>
        <v>1</v>
      </c>
    </row>
    <row r="172" spans="1:13">
      <c r="A172" s="47">
        <f t="shared" si="6"/>
        <v>171</v>
      </c>
      <c r="B172" s="54">
        <v>46169.9241666667</v>
      </c>
      <c r="C172" s="54">
        <v>46169.924351851798</v>
      </c>
      <c r="D172" s="54" t="s">
        <v>462</v>
      </c>
      <c r="E172" s="53" t="s">
        <v>290</v>
      </c>
      <c r="F172" s="53" t="s">
        <v>289</v>
      </c>
      <c r="G172" s="53" t="s">
        <v>179</v>
      </c>
      <c r="H172" s="53" t="s">
        <v>27</v>
      </c>
      <c r="I172" s="53" t="s">
        <v>27</v>
      </c>
      <c r="K172" s="1" t="str">
        <f t="shared" si="7"/>
        <v>BurdaMarcel</v>
      </c>
      <c r="M172" s="1">
        <f>COUNTIF($K$2:$K$266,K172)</f>
        <v>1</v>
      </c>
    </row>
    <row r="173" spans="1:13">
      <c r="A173" s="47">
        <f t="shared" si="6"/>
        <v>172</v>
      </c>
      <c r="B173" s="54">
        <v>46169.931087962999</v>
      </c>
      <c r="C173" s="54">
        <v>46169.931226851899</v>
      </c>
      <c r="D173" s="54" t="s">
        <v>462</v>
      </c>
      <c r="E173" s="53" t="s">
        <v>226</v>
      </c>
      <c r="F173" s="53" t="s">
        <v>291</v>
      </c>
      <c r="G173" s="53" t="s">
        <v>53</v>
      </c>
      <c r="H173" s="53" t="s">
        <v>27</v>
      </c>
      <c r="I173" s="53" t="s">
        <v>33</v>
      </c>
      <c r="K173" s="1" t="str">
        <f t="shared" si="7"/>
        <v>KrogulecAmelia</v>
      </c>
      <c r="M173" s="1">
        <f>COUNTIF($K$2:$K$266,K173)</f>
        <v>1</v>
      </c>
    </row>
    <row r="174" spans="1:13">
      <c r="A174" s="47">
        <f t="shared" si="6"/>
        <v>173</v>
      </c>
      <c r="B174" s="54">
        <v>46169.9445023148</v>
      </c>
      <c r="C174" s="54">
        <v>46169.945590277799</v>
      </c>
      <c r="D174" s="54" t="s">
        <v>462</v>
      </c>
      <c r="E174" s="53" t="s">
        <v>107</v>
      </c>
      <c r="F174" s="53" t="s">
        <v>292</v>
      </c>
      <c r="G174" s="53" t="s">
        <v>87</v>
      </c>
      <c r="H174" s="53" t="s">
        <v>27</v>
      </c>
      <c r="I174" s="53" t="s">
        <v>33</v>
      </c>
      <c r="K174" s="1" t="str">
        <f t="shared" si="7"/>
        <v>BartosikDawid</v>
      </c>
      <c r="M174" s="1">
        <f>COUNTIF($K$2:$K$266,K174)</f>
        <v>1</v>
      </c>
    </row>
    <row r="175" spans="1:13">
      <c r="A175" s="47">
        <f t="shared" si="6"/>
        <v>174</v>
      </c>
      <c r="B175" s="54">
        <v>46170.293796296297</v>
      </c>
      <c r="C175" s="54">
        <v>46170.293969907398</v>
      </c>
      <c r="D175" s="54" t="s">
        <v>462</v>
      </c>
      <c r="E175" s="53" t="s">
        <v>107</v>
      </c>
      <c r="F175" s="53" t="s">
        <v>293</v>
      </c>
      <c r="G175" s="53" t="s">
        <v>26</v>
      </c>
      <c r="H175" s="53" t="s">
        <v>27</v>
      </c>
      <c r="I175" s="53" t="s">
        <v>27</v>
      </c>
      <c r="K175" s="1" t="str">
        <f t="shared" si="7"/>
        <v>HajdasDawid</v>
      </c>
      <c r="M175" s="1">
        <f>COUNTIF($K$2:$K$266,K175)</f>
        <v>1</v>
      </c>
    </row>
    <row r="176" spans="1:13">
      <c r="A176" s="47">
        <f t="shared" si="6"/>
        <v>175</v>
      </c>
      <c r="B176" s="54">
        <v>46170.311898148197</v>
      </c>
      <c r="C176" s="54">
        <v>46170.312013888899</v>
      </c>
      <c r="D176" s="54" t="s">
        <v>462</v>
      </c>
      <c r="E176" s="53" t="s">
        <v>295</v>
      </c>
      <c r="F176" s="53" t="s">
        <v>294</v>
      </c>
      <c r="G176" s="53" t="s">
        <v>87</v>
      </c>
      <c r="H176" s="53" t="s">
        <v>27</v>
      </c>
      <c r="I176" s="53" t="s">
        <v>33</v>
      </c>
      <c r="K176" s="1" t="str">
        <f t="shared" si="7"/>
        <v>PichitDominik</v>
      </c>
      <c r="M176" s="1">
        <f>COUNTIF($K$2:$K$266,K176)</f>
        <v>1</v>
      </c>
    </row>
    <row r="177" spans="1:13">
      <c r="A177" s="47">
        <f t="shared" si="6"/>
        <v>176</v>
      </c>
      <c r="B177" s="54">
        <v>46170.317893518499</v>
      </c>
      <c r="C177" s="54">
        <v>46170.318321759303</v>
      </c>
      <c r="D177" s="54" t="s">
        <v>462</v>
      </c>
      <c r="E177" s="53" t="s">
        <v>65</v>
      </c>
      <c r="F177" s="53" t="s">
        <v>260</v>
      </c>
      <c r="G177" s="53" t="s">
        <v>26</v>
      </c>
      <c r="H177" s="53" t="s">
        <v>27</v>
      </c>
      <c r="I177" s="53" t="s">
        <v>27</v>
      </c>
      <c r="K177" s="1" t="str">
        <f t="shared" si="7"/>
        <v>MentekNikola</v>
      </c>
      <c r="M177" s="1">
        <f>COUNTIF($K$2:$K$266,K177)</f>
        <v>1</v>
      </c>
    </row>
    <row r="178" spans="1:13">
      <c r="A178" s="47">
        <f t="shared" si="6"/>
        <v>177</v>
      </c>
      <c r="B178" s="54">
        <v>46170.320706018501</v>
      </c>
      <c r="C178" s="54">
        <v>46170.320960648103</v>
      </c>
      <c r="D178" s="54" t="s">
        <v>462</v>
      </c>
      <c r="E178" s="53" t="s">
        <v>78</v>
      </c>
      <c r="F178" s="53" t="s">
        <v>296</v>
      </c>
      <c r="G178" s="53" t="s">
        <v>26</v>
      </c>
      <c r="H178" s="53" t="s">
        <v>27</v>
      </c>
      <c r="I178" s="53" t="s">
        <v>27</v>
      </c>
      <c r="K178" s="1" t="str">
        <f t="shared" si="7"/>
        <v>PiekarskaZuzanna</v>
      </c>
      <c r="M178" s="1">
        <f>COUNTIF($K$2:$K$266,K178)</f>
        <v>1</v>
      </c>
    </row>
    <row r="179" spans="1:13">
      <c r="A179" s="47">
        <f t="shared" si="6"/>
        <v>178</v>
      </c>
      <c r="B179" s="54">
        <v>46170.320902777799</v>
      </c>
      <c r="C179" s="54">
        <v>46170.3214814815</v>
      </c>
      <c r="D179" s="54" t="s">
        <v>462</v>
      </c>
      <c r="E179" s="53" t="s">
        <v>298</v>
      </c>
      <c r="F179" s="53" t="s">
        <v>297</v>
      </c>
      <c r="G179" s="53" t="s">
        <v>26</v>
      </c>
      <c r="H179" s="53" t="s">
        <v>27</v>
      </c>
      <c r="I179" s="53" t="s">
        <v>33</v>
      </c>
      <c r="K179" s="1" t="str">
        <f t="shared" si="7"/>
        <v>VeremiiAnastasiia</v>
      </c>
      <c r="M179" s="1">
        <f>COUNTIF($K$2:$K$266,K179)</f>
        <v>1</v>
      </c>
    </row>
    <row r="180" spans="1:13">
      <c r="A180" s="47">
        <f t="shared" si="6"/>
        <v>179</v>
      </c>
      <c r="B180" s="54">
        <v>46170.334016203698</v>
      </c>
      <c r="C180" s="54">
        <v>46170.334490740701</v>
      </c>
      <c r="D180" s="54" t="s">
        <v>462</v>
      </c>
      <c r="E180" s="53" t="s">
        <v>299</v>
      </c>
      <c r="F180" s="53" t="s">
        <v>91</v>
      </c>
      <c r="G180" s="53" t="s">
        <v>26</v>
      </c>
      <c r="H180" s="53" t="s">
        <v>27</v>
      </c>
      <c r="I180" s="53" t="s">
        <v>33</v>
      </c>
      <c r="K180" s="1" t="str">
        <f t="shared" si="7"/>
        <v>WłodarczykKajetan</v>
      </c>
      <c r="M180" s="1">
        <f>COUNTIF($K$2:$K$266,K180)</f>
        <v>1</v>
      </c>
    </row>
    <row r="181" spans="1:13">
      <c r="A181" s="47">
        <f t="shared" si="6"/>
        <v>180</v>
      </c>
      <c r="B181" s="54">
        <v>46170.343576388899</v>
      </c>
      <c r="C181" s="54">
        <v>46170.343738425901</v>
      </c>
      <c r="D181" s="54" t="s">
        <v>462</v>
      </c>
      <c r="E181" s="53" t="s">
        <v>46</v>
      </c>
      <c r="F181" s="53" t="s">
        <v>300</v>
      </c>
      <c r="G181" s="53" t="s">
        <v>179</v>
      </c>
      <c r="H181" s="53" t="s">
        <v>27</v>
      </c>
      <c r="I181" s="53" t="s">
        <v>33</v>
      </c>
      <c r="K181" s="1" t="str">
        <f t="shared" si="7"/>
        <v>GrabowskaWeronika</v>
      </c>
      <c r="M181" s="1">
        <f>COUNTIF($K$2:$K$266,K181)</f>
        <v>1</v>
      </c>
    </row>
    <row r="182" spans="1:13">
      <c r="A182" s="47">
        <f t="shared" si="6"/>
        <v>181</v>
      </c>
      <c r="B182" s="54">
        <v>46170.344120370399</v>
      </c>
      <c r="C182" s="54">
        <v>46170.344351851803</v>
      </c>
      <c r="D182" s="54" t="s">
        <v>462</v>
      </c>
      <c r="E182" s="53" t="s">
        <v>302</v>
      </c>
      <c r="F182" s="53" t="s">
        <v>301</v>
      </c>
      <c r="G182" s="53" t="s">
        <v>179</v>
      </c>
      <c r="H182" s="53" t="s">
        <v>33</v>
      </c>
      <c r="I182" s="53" t="s">
        <v>33</v>
      </c>
      <c r="K182" s="1" t="str">
        <f t="shared" si="7"/>
        <v>KalynovskaOleksandra</v>
      </c>
      <c r="M182" s="1">
        <f>COUNTIF($K$2:$K$266,K182)</f>
        <v>1</v>
      </c>
    </row>
    <row r="183" spans="1:13">
      <c r="A183" s="47">
        <f t="shared" si="6"/>
        <v>182</v>
      </c>
      <c r="B183" s="54">
        <v>46170.3500347222</v>
      </c>
      <c r="C183" s="54">
        <v>46170.350277777798</v>
      </c>
      <c r="D183" s="54" t="s">
        <v>462</v>
      </c>
      <c r="E183" s="53" t="s">
        <v>35</v>
      </c>
      <c r="F183" s="53" t="s">
        <v>303</v>
      </c>
      <c r="G183" s="53" t="s">
        <v>179</v>
      </c>
      <c r="H183" s="53" t="s">
        <v>27</v>
      </c>
      <c r="I183" s="53" t="s">
        <v>27</v>
      </c>
      <c r="K183" s="1" t="str">
        <f t="shared" si="7"/>
        <v>WilczekAleksandra</v>
      </c>
      <c r="M183" s="1">
        <f>COUNTIF($K$2:$K$266,K183)</f>
        <v>1</v>
      </c>
    </row>
    <row r="184" spans="1:13">
      <c r="A184" s="47">
        <f t="shared" si="6"/>
        <v>183</v>
      </c>
      <c r="B184" s="54">
        <v>46170.362673611096</v>
      </c>
      <c r="C184" s="54">
        <v>46170.362974536998</v>
      </c>
      <c r="D184" s="54" t="s">
        <v>462</v>
      </c>
      <c r="E184" s="53" t="s">
        <v>52</v>
      </c>
      <c r="F184" s="53" t="s">
        <v>304</v>
      </c>
      <c r="G184" s="53" t="s">
        <v>179</v>
      </c>
      <c r="H184" s="53" t="s">
        <v>27</v>
      </c>
      <c r="I184" s="53" t="s">
        <v>33</v>
      </c>
      <c r="K184" s="1" t="str">
        <f t="shared" si="7"/>
        <v>KurekWiktoria</v>
      </c>
      <c r="M184" s="1">
        <f>COUNTIF($K$2:$K$266,K184)</f>
        <v>1</v>
      </c>
    </row>
    <row r="185" spans="1:13">
      <c r="A185" s="47">
        <f t="shared" si="6"/>
        <v>184</v>
      </c>
      <c r="B185" s="54">
        <v>46170.366805555597</v>
      </c>
      <c r="C185" s="54">
        <v>46170.3669212963</v>
      </c>
      <c r="D185" s="54" t="s">
        <v>462</v>
      </c>
      <c r="E185" s="53" t="s">
        <v>305</v>
      </c>
      <c r="F185" s="53" t="s">
        <v>112</v>
      </c>
      <c r="G185" s="53" t="s">
        <v>26</v>
      </c>
      <c r="H185" s="53" t="s">
        <v>27</v>
      </c>
      <c r="I185" s="53" t="s">
        <v>33</v>
      </c>
      <c r="K185" s="1" t="str">
        <f t="shared" si="7"/>
        <v>StępieńWiktor</v>
      </c>
      <c r="M185" s="1">
        <f>COUNTIF($K$2:$K$266,K185)</f>
        <v>1</v>
      </c>
    </row>
    <row r="186" spans="1:13">
      <c r="A186" s="47">
        <f t="shared" si="6"/>
        <v>185</v>
      </c>
      <c r="B186" s="54">
        <v>46170.366875</v>
      </c>
      <c r="C186" s="54">
        <v>46170.367071759298</v>
      </c>
      <c r="D186" s="54" t="s">
        <v>462</v>
      </c>
      <c r="E186" s="53" t="s">
        <v>73</v>
      </c>
      <c r="F186" s="53" t="s">
        <v>306</v>
      </c>
      <c r="G186" s="53" t="s">
        <v>26</v>
      </c>
      <c r="H186" s="53" t="s">
        <v>27</v>
      </c>
      <c r="I186" s="53" t="s">
        <v>27</v>
      </c>
      <c r="K186" s="1" t="str">
        <f t="shared" si="7"/>
        <v>BanasiewiczJulia</v>
      </c>
      <c r="M186" s="1">
        <f>COUNTIF($K$2:$K$266,K186)</f>
        <v>1</v>
      </c>
    </row>
    <row r="187" spans="1:13">
      <c r="A187" s="47">
        <f t="shared" si="6"/>
        <v>186</v>
      </c>
      <c r="B187" s="54">
        <v>46170.366886574098</v>
      </c>
      <c r="C187" s="54">
        <v>46170.3670949074</v>
      </c>
      <c r="D187" s="54" t="s">
        <v>462</v>
      </c>
      <c r="E187" s="53" t="s">
        <v>308</v>
      </c>
      <c r="F187" s="53" t="s">
        <v>307</v>
      </c>
      <c r="G187" s="53" t="s">
        <v>26</v>
      </c>
      <c r="H187" s="53" t="s">
        <v>27</v>
      </c>
      <c r="I187" s="53" t="s">
        <v>27</v>
      </c>
      <c r="K187" s="1" t="str">
        <f t="shared" si="7"/>
        <v>SarnaCelina</v>
      </c>
      <c r="M187" s="1">
        <f>COUNTIF($K$2:$K$266,K187)</f>
        <v>1</v>
      </c>
    </row>
    <row r="188" spans="1:13">
      <c r="A188" s="47">
        <f t="shared" si="6"/>
        <v>187</v>
      </c>
      <c r="B188" s="54">
        <v>46170.366932870398</v>
      </c>
      <c r="C188" s="54">
        <v>46170.367152777799</v>
      </c>
      <c r="D188" s="54" t="s">
        <v>462</v>
      </c>
      <c r="E188" s="53" t="s">
        <v>35</v>
      </c>
      <c r="F188" s="53" t="s">
        <v>309</v>
      </c>
      <c r="G188" s="53" t="s">
        <v>26</v>
      </c>
      <c r="H188" s="53" t="s">
        <v>27</v>
      </c>
      <c r="I188" s="53" t="s">
        <v>33</v>
      </c>
      <c r="K188" s="1" t="str">
        <f t="shared" si="7"/>
        <v>SpruchAleksandra</v>
      </c>
      <c r="M188" s="1">
        <f>COUNTIF($K$2:$K$266,K188)</f>
        <v>1</v>
      </c>
    </row>
    <row r="189" spans="1:13">
      <c r="A189" s="47">
        <f t="shared" si="6"/>
        <v>188</v>
      </c>
      <c r="B189" s="54">
        <v>46170.366770833301</v>
      </c>
      <c r="C189" s="54">
        <v>46170.367199074099</v>
      </c>
      <c r="D189" s="54" t="s">
        <v>462</v>
      </c>
      <c r="E189" s="53" t="s">
        <v>46</v>
      </c>
      <c r="F189" s="53" t="s">
        <v>310</v>
      </c>
      <c r="G189" s="53" t="s">
        <v>26</v>
      </c>
      <c r="H189" s="53" t="s">
        <v>27</v>
      </c>
      <c r="I189" s="53" t="s">
        <v>27</v>
      </c>
      <c r="K189" s="1" t="str">
        <f t="shared" si="7"/>
        <v>BroniszewskaWeronika</v>
      </c>
      <c r="M189" s="1">
        <f>COUNTIF($K$2:$K$266,K189)</f>
        <v>1</v>
      </c>
    </row>
    <row r="190" spans="1:13">
      <c r="A190" s="47">
        <f t="shared" si="6"/>
        <v>189</v>
      </c>
      <c r="B190" s="54">
        <v>46170.367349537002</v>
      </c>
      <c r="C190" s="54">
        <v>46170.3676388889</v>
      </c>
      <c r="D190" s="54" t="s">
        <v>462</v>
      </c>
      <c r="E190" s="53" t="s">
        <v>223</v>
      </c>
      <c r="F190" s="53" t="s">
        <v>311</v>
      </c>
      <c r="G190" s="53" t="s">
        <v>26</v>
      </c>
      <c r="H190" s="53" t="s">
        <v>27</v>
      </c>
      <c r="I190" s="53" t="s">
        <v>27</v>
      </c>
      <c r="K190" s="1" t="str">
        <f t="shared" si="7"/>
        <v>SzymczykiewiczMarta</v>
      </c>
      <c r="M190" s="1">
        <f>COUNTIF($K$2:$K$266,K190)</f>
        <v>1</v>
      </c>
    </row>
    <row r="191" spans="1:13">
      <c r="A191" s="47">
        <f t="shared" si="6"/>
        <v>190</v>
      </c>
      <c r="B191" s="54">
        <v>46170.372546296298</v>
      </c>
      <c r="C191" s="54">
        <v>46170.3727546296</v>
      </c>
      <c r="D191" s="54" t="s">
        <v>462</v>
      </c>
      <c r="E191" s="53" t="s">
        <v>52</v>
      </c>
      <c r="F191" s="53" t="s">
        <v>312</v>
      </c>
      <c r="G191" s="53" t="s">
        <v>53</v>
      </c>
      <c r="H191" s="53" t="s">
        <v>27</v>
      </c>
      <c r="I191" s="53" t="s">
        <v>33</v>
      </c>
      <c r="K191" s="1" t="str">
        <f t="shared" si="7"/>
        <v>ŁęgowikWiktoria</v>
      </c>
      <c r="M191" s="1">
        <f>COUNTIF($K$2:$K$266,K191)</f>
        <v>1</v>
      </c>
    </row>
    <row r="192" spans="1:13">
      <c r="A192" s="47">
        <f t="shared" si="6"/>
        <v>191</v>
      </c>
      <c r="B192" s="54">
        <v>46170.3758564815</v>
      </c>
      <c r="C192" s="54">
        <v>46170.3760763889</v>
      </c>
      <c r="D192" s="54" t="s">
        <v>462</v>
      </c>
      <c r="E192" s="53" t="s">
        <v>262</v>
      </c>
      <c r="F192" s="53" t="s">
        <v>313</v>
      </c>
      <c r="G192" s="53" t="s">
        <v>179</v>
      </c>
      <c r="H192" s="53" t="s">
        <v>27</v>
      </c>
      <c r="I192" s="53" t="s">
        <v>27</v>
      </c>
      <c r="K192" s="1" t="str">
        <f t="shared" si="7"/>
        <v>PazeraAlicja</v>
      </c>
      <c r="M192" s="1">
        <f>COUNTIF($K$2:$K$266,K192)</f>
        <v>1</v>
      </c>
    </row>
    <row r="193" spans="1:13">
      <c r="A193" s="47">
        <f t="shared" si="6"/>
        <v>192</v>
      </c>
      <c r="B193" s="54">
        <v>46170.381979166697</v>
      </c>
      <c r="C193" s="54">
        <v>46170.382662037002</v>
      </c>
      <c r="D193" s="54" t="s">
        <v>462</v>
      </c>
      <c r="E193" s="53" t="s">
        <v>315</v>
      </c>
      <c r="F193" s="53" t="s">
        <v>314</v>
      </c>
      <c r="G193" s="53" t="s">
        <v>26</v>
      </c>
      <c r="H193" s="53" t="s">
        <v>27</v>
      </c>
      <c r="I193" s="53" t="s">
        <v>33</v>
      </c>
      <c r="K193" s="1" t="str">
        <f t="shared" si="7"/>
        <v>KwiecieńBartosz</v>
      </c>
      <c r="M193" s="1">
        <f>COUNTIF($K$2:$K$266,K193)</f>
        <v>1</v>
      </c>
    </row>
    <row r="194" spans="1:13">
      <c r="A194" s="47">
        <f t="shared" si="6"/>
        <v>193</v>
      </c>
      <c r="B194" s="54">
        <v>46170.410486111097</v>
      </c>
      <c r="C194" s="54">
        <v>46170.410659722198</v>
      </c>
      <c r="D194" s="54" t="s">
        <v>462</v>
      </c>
      <c r="E194" s="53" t="s">
        <v>472</v>
      </c>
      <c r="F194" s="53" t="s">
        <v>473</v>
      </c>
      <c r="G194" s="53" t="s">
        <v>26</v>
      </c>
      <c r="H194" s="53" t="s">
        <v>27</v>
      </c>
      <c r="I194" s="53" t="s">
        <v>27</v>
      </c>
      <c r="K194" s="1" t="str">
        <f t="shared" si="7"/>
        <v>skulimowskiigor</v>
      </c>
      <c r="M194" s="1">
        <f>COUNTIF($K$2:$K$266,K194)</f>
        <v>1</v>
      </c>
    </row>
    <row r="195" spans="1:13">
      <c r="A195" s="47">
        <f t="shared" si="6"/>
        <v>194</v>
      </c>
      <c r="B195" s="54">
        <v>46170.425937499997</v>
      </c>
      <c r="C195" s="54">
        <v>46170.426134259302</v>
      </c>
      <c r="D195" s="54" t="s">
        <v>462</v>
      </c>
      <c r="E195" s="53" t="s">
        <v>73</v>
      </c>
      <c r="F195" s="53" t="s">
        <v>318</v>
      </c>
      <c r="G195" s="53" t="s">
        <v>179</v>
      </c>
      <c r="H195" s="53" t="s">
        <v>27</v>
      </c>
      <c r="I195" s="53" t="s">
        <v>27</v>
      </c>
      <c r="K195" s="1" t="str">
        <f t="shared" si="7"/>
        <v>KozłowskaJulia</v>
      </c>
      <c r="M195" s="1">
        <f>COUNTIF($K$2:$K$266,K195)</f>
        <v>1</v>
      </c>
    </row>
    <row r="196" spans="1:13">
      <c r="A196" s="47">
        <f t="shared" ref="A196:A234" si="8">A195+1</f>
        <v>195</v>
      </c>
      <c r="B196" s="54">
        <v>46170.431053240703</v>
      </c>
      <c r="C196" s="54">
        <v>46170.4313078704</v>
      </c>
      <c r="D196" s="54" t="s">
        <v>462</v>
      </c>
      <c r="E196" s="53" t="s">
        <v>315</v>
      </c>
      <c r="F196" s="53" t="s">
        <v>319</v>
      </c>
      <c r="G196" s="53" t="s">
        <v>179</v>
      </c>
      <c r="H196" s="53" t="s">
        <v>27</v>
      </c>
      <c r="I196" s="53" t="s">
        <v>27</v>
      </c>
      <c r="K196" s="1" t="str">
        <f t="shared" si="7"/>
        <v>PikielBartosz</v>
      </c>
      <c r="M196" s="1">
        <f>COUNTIF($K$2:$K$266,K196)</f>
        <v>1</v>
      </c>
    </row>
    <row r="197" spans="1:13">
      <c r="A197" s="47">
        <f t="shared" si="8"/>
        <v>196</v>
      </c>
      <c r="B197" s="54">
        <v>46170.4401967593</v>
      </c>
      <c r="C197" s="54">
        <v>46170.440532407403</v>
      </c>
      <c r="D197" s="54" t="s">
        <v>462</v>
      </c>
      <c r="E197" s="53" t="s">
        <v>67</v>
      </c>
      <c r="F197" s="53" t="s">
        <v>320</v>
      </c>
      <c r="G197" s="53" t="s">
        <v>26</v>
      </c>
      <c r="H197" s="53" t="s">
        <v>27</v>
      </c>
      <c r="I197" s="53" t="s">
        <v>27</v>
      </c>
      <c r="K197" s="1" t="str">
        <f t="shared" si="7"/>
        <v>RochowskaIga</v>
      </c>
      <c r="M197" s="1">
        <f>COUNTIF($K$2:$K$266,K197)</f>
        <v>1</v>
      </c>
    </row>
    <row r="198" spans="1:13">
      <c r="A198" s="47">
        <f t="shared" si="8"/>
        <v>197</v>
      </c>
      <c r="B198" s="54">
        <v>46170.441898148099</v>
      </c>
      <c r="C198" s="54">
        <v>46170.442349536999</v>
      </c>
      <c r="D198" s="54" t="s">
        <v>462</v>
      </c>
      <c r="E198" s="53" t="s">
        <v>322</v>
      </c>
      <c r="F198" s="53" t="s">
        <v>321</v>
      </c>
      <c r="G198" s="53" t="s">
        <v>26</v>
      </c>
      <c r="H198" s="53" t="s">
        <v>27</v>
      </c>
      <c r="I198" s="53" t="s">
        <v>27</v>
      </c>
      <c r="K198" s="1" t="str">
        <f t="shared" si="7"/>
        <v>ZborowskaMagdalena</v>
      </c>
      <c r="M198" s="1">
        <f>COUNTIF($K$2:$K$266,K198)</f>
        <v>1</v>
      </c>
    </row>
    <row r="199" spans="1:13">
      <c r="A199" s="47">
        <f t="shared" si="8"/>
        <v>198</v>
      </c>
      <c r="B199" s="54">
        <v>46170.463437500002</v>
      </c>
      <c r="C199" s="54">
        <v>46170.463715277801</v>
      </c>
      <c r="D199" s="54" t="s">
        <v>462</v>
      </c>
      <c r="E199" s="53" t="s">
        <v>324</v>
      </c>
      <c r="F199" s="53" t="s">
        <v>323</v>
      </c>
      <c r="G199" s="53" t="s">
        <v>179</v>
      </c>
      <c r="H199" s="53" t="s">
        <v>27</v>
      </c>
      <c r="I199" s="53" t="s">
        <v>27</v>
      </c>
      <c r="K199" s="1" t="str">
        <f t="shared" si="7"/>
        <v>lebeltzuzanna</v>
      </c>
      <c r="M199" s="1">
        <f>COUNTIF($K$2:$K$266,K199)</f>
        <v>1</v>
      </c>
    </row>
    <row r="200" spans="1:13">
      <c r="A200" s="47">
        <f t="shared" si="8"/>
        <v>199</v>
      </c>
      <c r="B200" s="54">
        <v>46170.494178240697</v>
      </c>
      <c r="C200" s="54">
        <v>46170.494340277801</v>
      </c>
      <c r="D200" s="54" t="s">
        <v>462</v>
      </c>
      <c r="E200" s="53" t="s">
        <v>78</v>
      </c>
      <c r="F200" s="53" t="s">
        <v>56</v>
      </c>
      <c r="G200" s="53" t="s">
        <v>179</v>
      </c>
      <c r="H200" s="53" t="s">
        <v>27</v>
      </c>
      <c r="I200" s="53" t="s">
        <v>27</v>
      </c>
      <c r="K200" s="1" t="str">
        <f t="shared" si="7"/>
        <v>NitaZuzanna</v>
      </c>
      <c r="M200" s="1">
        <f>COUNTIF($K$2:$K$266,K200)</f>
        <v>1</v>
      </c>
    </row>
    <row r="201" spans="1:13">
      <c r="A201" s="47">
        <f t="shared" si="8"/>
        <v>200</v>
      </c>
      <c r="B201" s="54">
        <v>46170.539664351803</v>
      </c>
      <c r="C201" s="54">
        <v>46170.540069444403</v>
      </c>
      <c r="D201" s="54" t="s">
        <v>462</v>
      </c>
      <c r="E201" s="53" t="s">
        <v>305</v>
      </c>
      <c r="F201" s="53" t="s">
        <v>325</v>
      </c>
      <c r="G201" s="53" t="s">
        <v>32</v>
      </c>
      <c r="H201" s="53" t="s">
        <v>27</v>
      </c>
      <c r="I201" s="53" t="s">
        <v>33</v>
      </c>
      <c r="K201" s="1" t="str">
        <f t="shared" si="7"/>
        <v>MakowskiWiktor</v>
      </c>
      <c r="M201" s="1">
        <f>COUNTIF($K$2:$K$266,K201)</f>
        <v>1</v>
      </c>
    </row>
    <row r="202" spans="1:13">
      <c r="A202" s="47">
        <f t="shared" si="8"/>
        <v>201</v>
      </c>
      <c r="B202" s="54">
        <v>46170.539675925902</v>
      </c>
      <c r="C202" s="54">
        <v>46170.540439814802</v>
      </c>
      <c r="D202" s="54" t="s">
        <v>462</v>
      </c>
      <c r="E202" s="53" t="s">
        <v>315</v>
      </c>
      <c r="F202" s="53" t="s">
        <v>326</v>
      </c>
      <c r="G202" s="53" t="s">
        <v>32</v>
      </c>
      <c r="H202" s="53" t="s">
        <v>27</v>
      </c>
      <c r="I202" s="53" t="s">
        <v>27</v>
      </c>
      <c r="K202" s="1" t="str">
        <f t="shared" si="7"/>
        <v>DorozińskiBartosz</v>
      </c>
      <c r="M202" s="1">
        <f>COUNTIF($K$2:$K$266,K202)</f>
        <v>1</v>
      </c>
    </row>
    <row r="203" spans="1:13">
      <c r="A203" s="47">
        <f t="shared" si="8"/>
        <v>202</v>
      </c>
      <c r="B203" s="54">
        <v>46170.540509259299</v>
      </c>
      <c r="C203" s="54">
        <v>46170.5406365741</v>
      </c>
      <c r="D203" s="54" t="s">
        <v>462</v>
      </c>
      <c r="E203" s="53" t="s">
        <v>328</v>
      </c>
      <c r="F203" s="53" t="s">
        <v>327</v>
      </c>
      <c r="G203" s="53" t="s">
        <v>32</v>
      </c>
      <c r="H203" s="53" t="s">
        <v>27</v>
      </c>
      <c r="I203" s="53" t="s">
        <v>33</v>
      </c>
      <c r="K203" s="1" t="str">
        <f t="shared" si="7"/>
        <v>DoboszMaria</v>
      </c>
      <c r="M203" s="1">
        <f>COUNTIF($K$2:$K$266,K203)</f>
        <v>1</v>
      </c>
    </row>
    <row r="204" spans="1:13">
      <c r="A204" s="47">
        <f t="shared" si="8"/>
        <v>203</v>
      </c>
      <c r="B204" s="54">
        <v>46170.541608796302</v>
      </c>
      <c r="C204" s="54">
        <v>46170.541828703703</v>
      </c>
      <c r="D204" s="54" t="s">
        <v>462</v>
      </c>
      <c r="E204" s="53" t="s">
        <v>244</v>
      </c>
      <c r="F204" s="53" t="s">
        <v>329</v>
      </c>
      <c r="G204" s="53" t="s">
        <v>32</v>
      </c>
      <c r="H204" s="53" t="s">
        <v>27</v>
      </c>
      <c r="I204" s="53" t="s">
        <v>33</v>
      </c>
      <c r="K204" s="1" t="str">
        <f t="shared" si="7"/>
        <v>BartnikAdrianna</v>
      </c>
      <c r="M204" s="1">
        <f>COUNTIF($K$2:$K$266,K204)</f>
        <v>1</v>
      </c>
    </row>
    <row r="205" spans="1:13">
      <c r="A205" s="47">
        <f t="shared" si="8"/>
        <v>204</v>
      </c>
      <c r="B205" s="54">
        <v>46170.555393518502</v>
      </c>
      <c r="C205" s="54">
        <v>46170.555706018502</v>
      </c>
      <c r="D205" s="54" t="s">
        <v>462</v>
      </c>
      <c r="E205" s="53" t="s">
        <v>127</v>
      </c>
      <c r="F205" s="53" t="s">
        <v>330</v>
      </c>
      <c r="G205" s="53" t="s">
        <v>32</v>
      </c>
      <c r="H205" s="53" t="s">
        <v>27</v>
      </c>
      <c r="I205" s="53" t="s">
        <v>33</v>
      </c>
      <c r="K205" s="1" t="str">
        <f t="shared" ref="K205:K222" si="9">F205&amp;E205</f>
        <v>SmolarekKacper</v>
      </c>
      <c r="M205" s="1">
        <f>COUNTIF($K$2:$K$266,K205)</f>
        <v>1</v>
      </c>
    </row>
    <row r="206" spans="1:13">
      <c r="A206" s="47">
        <f t="shared" si="8"/>
        <v>205</v>
      </c>
      <c r="B206" s="54">
        <v>46170.5609259259</v>
      </c>
      <c r="C206" s="54">
        <v>46170.5613310185</v>
      </c>
      <c r="D206" s="54" t="s">
        <v>462</v>
      </c>
      <c r="E206" s="53" t="s">
        <v>78</v>
      </c>
      <c r="F206" s="53" t="s">
        <v>331</v>
      </c>
      <c r="G206" s="53" t="s">
        <v>32</v>
      </c>
      <c r="H206" s="53" t="s">
        <v>33</v>
      </c>
      <c r="I206" s="53" t="s">
        <v>33</v>
      </c>
      <c r="K206" s="1" t="str">
        <f t="shared" si="9"/>
        <v>NowakZuzanna</v>
      </c>
      <c r="M206" s="1">
        <f>COUNTIF($K$2:$K$266,K206)</f>
        <v>2</v>
      </c>
    </row>
    <row r="207" spans="1:13">
      <c r="A207" s="47">
        <f t="shared" si="8"/>
        <v>206</v>
      </c>
      <c r="B207" s="54">
        <v>46170.601678240702</v>
      </c>
      <c r="C207" s="54">
        <v>46170.6018287037</v>
      </c>
      <c r="D207" s="54" t="s">
        <v>462</v>
      </c>
      <c r="E207" s="53" t="s">
        <v>78</v>
      </c>
      <c r="F207" s="53" t="s">
        <v>332</v>
      </c>
      <c r="G207" s="53" t="s">
        <v>87</v>
      </c>
      <c r="H207" s="53" t="s">
        <v>27</v>
      </c>
      <c r="I207" s="53" t="s">
        <v>27</v>
      </c>
      <c r="K207" s="1" t="str">
        <f t="shared" si="9"/>
        <v>OrsiczZuzanna</v>
      </c>
      <c r="M207" s="1">
        <f>COUNTIF($K$2:$K$266,K207)</f>
        <v>1</v>
      </c>
    </row>
    <row r="208" spans="1:13">
      <c r="A208" s="47">
        <f t="shared" si="8"/>
        <v>207</v>
      </c>
      <c r="B208" s="54">
        <v>46170.655011574097</v>
      </c>
      <c r="C208" s="54">
        <v>46170.6551736111</v>
      </c>
      <c r="D208" s="54" t="s">
        <v>462</v>
      </c>
      <c r="E208" s="53" t="s">
        <v>334</v>
      </c>
      <c r="F208" s="53" t="s">
        <v>333</v>
      </c>
      <c r="G208" s="53" t="s">
        <v>32</v>
      </c>
      <c r="H208" s="53" t="s">
        <v>27</v>
      </c>
      <c r="I208" s="53" t="s">
        <v>27</v>
      </c>
      <c r="K208" s="1" t="str">
        <f t="shared" si="9"/>
        <v>PiątkowskiŁukasz</v>
      </c>
      <c r="M208" s="1">
        <f>COUNTIF($K$2:$K$266,K208)</f>
        <v>1</v>
      </c>
    </row>
    <row r="209" spans="1:13">
      <c r="A209" s="47">
        <f t="shared" si="8"/>
        <v>208</v>
      </c>
      <c r="B209" s="54">
        <v>46170.797974537003</v>
      </c>
      <c r="C209" s="54">
        <v>46170.798148148097</v>
      </c>
      <c r="D209" s="54" t="s">
        <v>462</v>
      </c>
      <c r="E209" s="53" t="s">
        <v>35</v>
      </c>
      <c r="F209" s="53" t="s">
        <v>336</v>
      </c>
      <c r="G209" s="53" t="s">
        <v>113</v>
      </c>
      <c r="H209" s="53" t="s">
        <v>27</v>
      </c>
      <c r="I209" s="53" t="s">
        <v>33</v>
      </c>
      <c r="K209" s="1" t="str">
        <f t="shared" si="9"/>
        <v>WoźniakAleksandra</v>
      </c>
      <c r="M209" s="1">
        <f>COUNTIF($K$2:$K$266,K209)</f>
        <v>1</v>
      </c>
    </row>
    <row r="210" spans="1:13">
      <c r="A210" s="47">
        <f t="shared" si="8"/>
        <v>209</v>
      </c>
      <c r="B210" s="54">
        <v>46171.367974537003</v>
      </c>
      <c r="C210" s="54">
        <v>46171.3684027778</v>
      </c>
      <c r="D210" s="54" t="s">
        <v>462</v>
      </c>
      <c r="E210" s="53" t="s">
        <v>338</v>
      </c>
      <c r="F210" s="53" t="s">
        <v>337</v>
      </c>
      <c r="G210" s="53" t="s">
        <v>113</v>
      </c>
      <c r="H210" s="53" t="s">
        <v>33</v>
      </c>
      <c r="I210" s="53" t="s">
        <v>33</v>
      </c>
      <c r="K210" s="1" t="str">
        <f t="shared" si="9"/>
        <v>BucSara</v>
      </c>
      <c r="M210" s="1">
        <f>COUNTIF($K$2:$K$266,K210)</f>
        <v>1</v>
      </c>
    </row>
    <row r="211" spans="1:13">
      <c r="A211" s="47">
        <f t="shared" si="8"/>
        <v>210</v>
      </c>
      <c r="B211" s="54">
        <v>46171.409328703703</v>
      </c>
      <c r="C211" s="54">
        <v>46171.409490740698</v>
      </c>
      <c r="D211" s="54" t="s">
        <v>462</v>
      </c>
      <c r="E211" s="53" t="s">
        <v>78</v>
      </c>
      <c r="F211" s="53" t="s">
        <v>339</v>
      </c>
      <c r="G211" s="53" t="s">
        <v>179</v>
      </c>
      <c r="H211" s="53" t="s">
        <v>27</v>
      </c>
      <c r="I211" s="53" t="s">
        <v>27</v>
      </c>
      <c r="K211" s="1" t="str">
        <f t="shared" si="9"/>
        <v>RekhviashviliZuzanna</v>
      </c>
      <c r="M211" s="1">
        <f>COUNTIF($K$2:$K$266,K211)</f>
        <v>1</v>
      </c>
    </row>
    <row r="212" spans="1:13">
      <c r="A212" s="47">
        <f t="shared" si="8"/>
        <v>211</v>
      </c>
      <c r="B212" s="54">
        <v>46171.409861111097</v>
      </c>
      <c r="C212" s="54">
        <v>46171.410208333298</v>
      </c>
      <c r="D212" s="54" t="s">
        <v>462</v>
      </c>
      <c r="E212" s="53" t="s">
        <v>78</v>
      </c>
      <c r="F212" s="53" t="s">
        <v>340</v>
      </c>
      <c r="G212" s="53" t="s">
        <v>179</v>
      </c>
      <c r="H212" s="53" t="s">
        <v>27</v>
      </c>
      <c r="I212" s="53" t="s">
        <v>27</v>
      </c>
      <c r="K212" s="1" t="str">
        <f t="shared" si="9"/>
        <v>DeptaZuzanna</v>
      </c>
      <c r="M212" s="1">
        <f>COUNTIF($K$2:$K$266,K212)</f>
        <v>1</v>
      </c>
    </row>
    <row r="213" spans="1:13">
      <c r="A213" s="47">
        <f t="shared" si="8"/>
        <v>212</v>
      </c>
      <c r="B213" s="54">
        <v>46171.410821759302</v>
      </c>
      <c r="C213" s="54">
        <v>46171.411041666703</v>
      </c>
      <c r="D213" s="54" t="s">
        <v>462</v>
      </c>
      <c r="E213" s="53" t="s">
        <v>223</v>
      </c>
      <c r="F213" s="53" t="s">
        <v>341</v>
      </c>
      <c r="G213" s="53" t="s">
        <v>179</v>
      </c>
      <c r="H213" s="53" t="s">
        <v>27</v>
      </c>
      <c r="I213" s="53" t="s">
        <v>27</v>
      </c>
      <c r="K213" s="1" t="str">
        <f t="shared" si="9"/>
        <v>ŁągiewkaMarta</v>
      </c>
      <c r="M213" s="1">
        <f>COUNTIF($K$2:$K$266,K213)</f>
        <v>1</v>
      </c>
    </row>
    <row r="214" spans="1:13">
      <c r="A214" s="47">
        <f t="shared" si="8"/>
        <v>213</v>
      </c>
      <c r="B214" s="54">
        <v>46171.423217592601</v>
      </c>
      <c r="C214" s="54">
        <v>46171.423634259299</v>
      </c>
      <c r="D214" s="54" t="s">
        <v>462</v>
      </c>
      <c r="E214" s="53" t="s">
        <v>57</v>
      </c>
      <c r="F214" s="53" t="s">
        <v>342</v>
      </c>
      <c r="G214" s="53" t="s">
        <v>26</v>
      </c>
      <c r="H214" s="53" t="s">
        <v>27</v>
      </c>
      <c r="I214" s="53" t="s">
        <v>27</v>
      </c>
      <c r="K214" s="1" t="str">
        <f t="shared" si="9"/>
        <v>StępniewskaOliwia</v>
      </c>
      <c r="M214" s="1">
        <f>COUNTIF($K$2:$K$266,K214)</f>
        <v>1</v>
      </c>
    </row>
    <row r="215" spans="1:13">
      <c r="A215" s="47">
        <f t="shared" si="8"/>
        <v>214</v>
      </c>
      <c r="B215" s="54">
        <v>46171.646087963003</v>
      </c>
      <c r="C215" s="54">
        <v>46171.646597222199</v>
      </c>
      <c r="D215" s="54" t="s">
        <v>462</v>
      </c>
      <c r="E215" s="53" t="s">
        <v>31</v>
      </c>
      <c r="F215" s="53" t="s">
        <v>343</v>
      </c>
      <c r="G215" s="53" t="s">
        <v>32</v>
      </c>
      <c r="H215" s="53" t="s">
        <v>27</v>
      </c>
      <c r="I215" s="53" t="s">
        <v>33</v>
      </c>
      <c r="K215" s="1" t="str">
        <f t="shared" si="9"/>
        <v>CyniakMikołaj</v>
      </c>
      <c r="M215" s="1">
        <f>COUNTIF($K$2:$K$266,K215)</f>
        <v>1</v>
      </c>
    </row>
    <row r="216" spans="1:13">
      <c r="A216" s="47">
        <f t="shared" si="8"/>
        <v>215</v>
      </c>
      <c r="B216" s="54">
        <v>46171.646018518499</v>
      </c>
      <c r="C216" s="54">
        <v>46171.646608796298</v>
      </c>
      <c r="D216" s="54" t="s">
        <v>462</v>
      </c>
      <c r="E216" s="53" t="s">
        <v>80</v>
      </c>
      <c r="F216" s="53" t="s">
        <v>344</v>
      </c>
      <c r="G216" s="53" t="s">
        <v>32</v>
      </c>
      <c r="H216" s="53" t="s">
        <v>27</v>
      </c>
      <c r="I216" s="53" t="s">
        <v>33</v>
      </c>
      <c r="K216" s="1" t="str">
        <f t="shared" si="9"/>
        <v>PłomińskiSzymon</v>
      </c>
      <c r="M216" s="1">
        <f>COUNTIF($K$2:$K$266,K216)</f>
        <v>1</v>
      </c>
    </row>
    <row r="217" spans="1:13">
      <c r="A217" s="47">
        <f t="shared" si="8"/>
        <v>216</v>
      </c>
      <c r="B217" s="54">
        <v>46171.667523148099</v>
      </c>
      <c r="C217" s="54">
        <v>46171.668287036999</v>
      </c>
      <c r="D217" s="54" t="s">
        <v>462</v>
      </c>
      <c r="E217" s="53" t="s">
        <v>78</v>
      </c>
      <c r="F217" s="53" t="s">
        <v>234</v>
      </c>
      <c r="G217" s="53" t="s">
        <v>188</v>
      </c>
      <c r="H217" s="53" t="s">
        <v>27</v>
      </c>
      <c r="I217" s="53" t="s">
        <v>33</v>
      </c>
      <c r="K217" s="1" t="str">
        <f t="shared" si="9"/>
        <v>OścikZuzanna</v>
      </c>
      <c r="M217" s="1">
        <f>COUNTIF($K$2:$K$266,K217)</f>
        <v>1</v>
      </c>
    </row>
    <row r="218" spans="1:13">
      <c r="A218" s="47">
        <f t="shared" si="8"/>
        <v>217</v>
      </c>
      <c r="B218" s="54">
        <v>46171.663229166697</v>
      </c>
      <c r="C218" s="54">
        <v>46171.704421296301</v>
      </c>
      <c r="D218" s="54" t="s">
        <v>462</v>
      </c>
      <c r="E218" s="53" t="s">
        <v>52</v>
      </c>
      <c r="F218" s="53" t="s">
        <v>345</v>
      </c>
      <c r="G218" s="53" t="s">
        <v>188</v>
      </c>
      <c r="H218" s="53" t="s">
        <v>27</v>
      </c>
      <c r="I218" s="53" t="s">
        <v>33</v>
      </c>
      <c r="K218" s="1" t="str">
        <f t="shared" si="9"/>
        <v>MajakWiktoria</v>
      </c>
      <c r="M218" s="1">
        <f>COUNTIF($K$2:$K$266,K218)</f>
        <v>1</v>
      </c>
    </row>
    <row r="219" spans="1:13">
      <c r="A219" s="47">
        <f t="shared" si="8"/>
        <v>218</v>
      </c>
      <c r="B219" s="54">
        <v>46171.7248958333</v>
      </c>
      <c r="C219" s="54">
        <v>46171.726331018501</v>
      </c>
      <c r="D219" s="54" t="s">
        <v>462</v>
      </c>
      <c r="E219" s="53" t="s">
        <v>347</v>
      </c>
      <c r="F219" s="53" t="s">
        <v>346</v>
      </c>
      <c r="G219" s="53" t="s">
        <v>87</v>
      </c>
      <c r="H219" s="53" t="s">
        <v>27</v>
      </c>
      <c r="I219" s="53" t="s">
        <v>27</v>
      </c>
      <c r="K219" s="1" t="str">
        <f t="shared" si="9"/>
        <v>FrankowskaZosia</v>
      </c>
      <c r="M219" s="1">
        <f>COUNTIF($K$2:$K$266,K219)</f>
        <v>1</v>
      </c>
    </row>
    <row r="220" spans="1:13">
      <c r="A220" s="47">
        <f t="shared" si="8"/>
        <v>219</v>
      </c>
      <c r="B220" s="54">
        <v>46171.7490972222</v>
      </c>
      <c r="C220" s="54">
        <v>46171.7492824074</v>
      </c>
      <c r="D220" s="54" t="s">
        <v>462</v>
      </c>
      <c r="E220" s="53" t="s">
        <v>168</v>
      </c>
      <c r="F220" s="53" t="s">
        <v>348</v>
      </c>
      <c r="G220" s="53" t="s">
        <v>32</v>
      </c>
      <c r="H220" s="53" t="s">
        <v>27</v>
      </c>
      <c r="I220" s="53" t="s">
        <v>33</v>
      </c>
      <c r="K220" s="1" t="str">
        <f t="shared" si="9"/>
        <v>TomalaJan</v>
      </c>
      <c r="M220" s="1">
        <f>COUNTIF($K$2:$K$266,K220)</f>
        <v>1</v>
      </c>
    </row>
    <row r="221" spans="1:13">
      <c r="A221" s="47">
        <f t="shared" si="8"/>
        <v>220</v>
      </c>
      <c r="B221" s="54">
        <v>46171.8823148148</v>
      </c>
      <c r="C221" s="54">
        <v>46171.882743055598</v>
      </c>
      <c r="D221" s="54" t="s">
        <v>462</v>
      </c>
      <c r="E221" s="53" t="s">
        <v>100</v>
      </c>
      <c r="F221" s="53" t="s">
        <v>349</v>
      </c>
      <c r="G221" s="53" t="s">
        <v>179</v>
      </c>
      <c r="H221" s="53" t="s">
        <v>27</v>
      </c>
      <c r="I221" s="53" t="s">
        <v>27</v>
      </c>
      <c r="K221" s="1" t="str">
        <f t="shared" si="9"/>
        <v>WaladaKaja</v>
      </c>
      <c r="M221" s="1">
        <f>COUNTIF($K$2:$K$266,K221)</f>
        <v>1</v>
      </c>
    </row>
    <row r="222" spans="1:13">
      <c r="A222" s="47">
        <f t="shared" si="8"/>
        <v>221</v>
      </c>
      <c r="B222" s="54">
        <v>46172.437268518501</v>
      </c>
      <c r="C222" s="54">
        <v>46172.437511574099</v>
      </c>
      <c r="D222" s="54" t="s">
        <v>462</v>
      </c>
      <c r="E222" s="53" t="s">
        <v>350</v>
      </c>
      <c r="F222" s="53" t="s">
        <v>293</v>
      </c>
      <c r="G222" s="53" t="s">
        <v>87</v>
      </c>
      <c r="H222" s="53" t="s">
        <v>27</v>
      </c>
      <c r="I222" s="53" t="s">
        <v>27</v>
      </c>
      <c r="K222" s="1" t="str">
        <f t="shared" si="9"/>
        <v>HajdasLiliana</v>
      </c>
      <c r="M222" s="1">
        <f>COUNTIF($K$2:$K$266,K222)</f>
        <v>1</v>
      </c>
    </row>
    <row r="223" spans="1:13">
      <c r="A223" s="47">
        <f t="shared" si="8"/>
        <v>222</v>
      </c>
      <c r="B223" s="54">
        <v>46172.485671296301</v>
      </c>
      <c r="C223" s="54">
        <v>46172.486087963</v>
      </c>
      <c r="D223" s="54" t="s">
        <v>462</v>
      </c>
      <c r="E223" s="53" t="s">
        <v>226</v>
      </c>
      <c r="F223" s="53" t="s">
        <v>351</v>
      </c>
      <c r="G223" s="53" t="s">
        <v>188</v>
      </c>
      <c r="H223" s="53" t="s">
        <v>27</v>
      </c>
      <c r="I223" s="53" t="s">
        <v>27</v>
      </c>
      <c r="K223" s="1" t="str">
        <f t="shared" ref="K223:K234" si="10">F223&amp;E223</f>
        <v>FilaAmelia</v>
      </c>
      <c r="M223" s="1">
        <f>COUNTIF($K$2:$K$266,K223)</f>
        <v>1</v>
      </c>
    </row>
    <row r="224" spans="1:13">
      <c r="A224" s="47">
        <f t="shared" si="8"/>
        <v>223</v>
      </c>
      <c r="B224" s="54">
        <v>46172.724097222199</v>
      </c>
      <c r="C224" s="54">
        <v>46172.724467592598</v>
      </c>
      <c r="D224" s="54" t="s">
        <v>462</v>
      </c>
      <c r="E224" s="53" t="s">
        <v>353</v>
      </c>
      <c r="F224" s="53" t="s">
        <v>352</v>
      </c>
      <c r="G224" s="53" t="s">
        <v>87</v>
      </c>
      <c r="H224" s="53" t="s">
        <v>33</v>
      </c>
      <c r="I224" s="53" t="s">
        <v>33</v>
      </c>
      <c r="K224" s="1" t="str">
        <f t="shared" si="10"/>
        <v>Michałowski-BryłaKarol</v>
      </c>
      <c r="M224" s="1">
        <f>COUNTIF($K$2:$K$266,K224)</f>
        <v>1</v>
      </c>
    </row>
    <row r="225" spans="1:13">
      <c r="A225" s="47">
        <f t="shared" si="8"/>
        <v>224</v>
      </c>
      <c r="B225" s="54">
        <v>46174.408310185201</v>
      </c>
      <c r="C225" s="54">
        <v>46174.4089930556</v>
      </c>
      <c r="D225" s="54" t="s">
        <v>462</v>
      </c>
      <c r="E225" s="53" t="s">
        <v>57</v>
      </c>
      <c r="F225" s="53" t="s">
        <v>474</v>
      </c>
      <c r="G225" s="53" t="s">
        <v>26</v>
      </c>
      <c r="H225" s="53" t="s">
        <v>27</v>
      </c>
      <c r="I225" s="53" t="s">
        <v>33</v>
      </c>
      <c r="K225" s="1" t="str">
        <f t="shared" si="10"/>
        <v>SawkaOliwia</v>
      </c>
      <c r="M225" s="1">
        <f>COUNTIF($K$2:$K$266,K225)</f>
        <v>1</v>
      </c>
    </row>
    <row r="226" spans="1:13">
      <c r="A226" s="47">
        <f t="shared" si="8"/>
        <v>225</v>
      </c>
      <c r="B226" s="54">
        <v>46174.409699074102</v>
      </c>
      <c r="C226" s="54">
        <v>46174.409849536998</v>
      </c>
      <c r="D226" s="54" t="s">
        <v>462</v>
      </c>
      <c r="E226" s="53" t="s">
        <v>59</v>
      </c>
      <c r="F226" s="53" t="s">
        <v>475</v>
      </c>
      <c r="G226" s="53" t="s">
        <v>26</v>
      </c>
      <c r="H226" s="53" t="s">
        <v>27</v>
      </c>
      <c r="I226" s="53" t="s">
        <v>33</v>
      </c>
      <c r="K226" s="1" t="str">
        <f t="shared" si="10"/>
        <v>OlczykNatalia</v>
      </c>
      <c r="M226" s="1">
        <f>COUNTIF($K$2:$K$266,K226)</f>
        <v>1</v>
      </c>
    </row>
    <row r="227" spans="1:13">
      <c r="A227" s="47">
        <f t="shared" si="8"/>
        <v>226</v>
      </c>
      <c r="B227" s="54">
        <v>46174.451967592599</v>
      </c>
      <c r="C227" s="54">
        <v>46174.452615740702</v>
      </c>
      <c r="D227" s="54" t="s">
        <v>462</v>
      </c>
      <c r="E227" s="53" t="s">
        <v>476</v>
      </c>
      <c r="F227" s="53" t="s">
        <v>477</v>
      </c>
      <c r="G227" s="53" t="s">
        <v>26</v>
      </c>
      <c r="H227" s="53" t="s">
        <v>27</v>
      </c>
      <c r="I227" s="53" t="s">
        <v>33</v>
      </c>
      <c r="K227" s="1" t="str">
        <f t="shared" si="10"/>
        <v xml:space="preserve">Bogacka Pola </v>
      </c>
      <c r="M227" s="1">
        <f>COUNTIF($K$2:$K$266,K227)</f>
        <v>1</v>
      </c>
    </row>
    <row r="228" spans="1:13">
      <c r="A228" s="47">
        <f t="shared" si="8"/>
        <v>227</v>
      </c>
      <c r="B228" s="54">
        <v>46174.644699074102</v>
      </c>
      <c r="C228" s="54">
        <v>46174.645057870403</v>
      </c>
      <c r="D228" s="54" t="s">
        <v>462</v>
      </c>
      <c r="E228" s="53" t="s">
        <v>223</v>
      </c>
      <c r="F228" s="53" t="s">
        <v>478</v>
      </c>
      <c r="G228" s="53" t="s">
        <v>26</v>
      </c>
      <c r="H228" s="53" t="s">
        <v>27</v>
      </c>
      <c r="I228" s="53" t="s">
        <v>33</v>
      </c>
      <c r="K228" s="1" t="str">
        <f t="shared" si="10"/>
        <v>Rajtar Marta</v>
      </c>
      <c r="M228" s="1">
        <f>COUNTIF($K$2:$K$266,K228)</f>
        <v>1</v>
      </c>
    </row>
    <row r="229" spans="1:13">
      <c r="A229" s="47">
        <f t="shared" si="8"/>
        <v>228</v>
      </c>
      <c r="B229" s="54">
        <v>46174.819872685199</v>
      </c>
      <c r="C229" s="54">
        <v>46174.820590277799</v>
      </c>
      <c r="D229" s="54" t="s">
        <v>462</v>
      </c>
      <c r="E229" s="53" t="s">
        <v>479</v>
      </c>
      <c r="F229" s="53" t="s">
        <v>480</v>
      </c>
      <c r="G229" s="53" t="s">
        <v>188</v>
      </c>
      <c r="H229" s="53" t="s">
        <v>27</v>
      </c>
      <c r="I229" s="53" t="s">
        <v>33</v>
      </c>
      <c r="K229" s="1" t="str">
        <f t="shared" si="10"/>
        <v xml:space="preserve">Grzywna Aleksandra </v>
      </c>
      <c r="M229" s="1">
        <f>COUNTIF($K$2:$K$266,K229)</f>
        <v>1</v>
      </c>
    </row>
    <row r="230" spans="1:13">
      <c r="A230" s="47">
        <f t="shared" si="8"/>
        <v>229</v>
      </c>
      <c r="B230" s="54">
        <v>46174.909710648099</v>
      </c>
      <c r="C230" s="54">
        <v>46174.909942129598</v>
      </c>
      <c r="D230" s="54" t="s">
        <v>462</v>
      </c>
      <c r="E230" s="53" t="s">
        <v>73</v>
      </c>
      <c r="F230" s="53" t="s">
        <v>481</v>
      </c>
      <c r="G230" s="53" t="s">
        <v>188</v>
      </c>
      <c r="H230" s="53" t="s">
        <v>27</v>
      </c>
      <c r="I230" s="53" t="s">
        <v>27</v>
      </c>
      <c r="K230" s="1" t="str">
        <f t="shared" si="10"/>
        <v>ChmielJulia</v>
      </c>
      <c r="M230" s="1">
        <f>COUNTIF($K$2:$K$266,K230)</f>
        <v>1</v>
      </c>
    </row>
    <row r="231" spans="1:13">
      <c r="A231" s="47">
        <f t="shared" si="8"/>
        <v>230</v>
      </c>
      <c r="B231" s="54">
        <v>46174.910405092603</v>
      </c>
      <c r="C231" s="54">
        <v>46174.910532407397</v>
      </c>
      <c r="D231" s="54" t="s">
        <v>462</v>
      </c>
      <c r="E231" s="53" t="s">
        <v>353</v>
      </c>
      <c r="F231" s="53" t="s">
        <v>482</v>
      </c>
      <c r="G231" s="53" t="s">
        <v>188</v>
      </c>
      <c r="H231" s="53" t="s">
        <v>27</v>
      </c>
      <c r="I231" s="53" t="s">
        <v>27</v>
      </c>
      <c r="K231" s="1" t="str">
        <f t="shared" si="10"/>
        <v>PuczkowskiKarol</v>
      </c>
      <c r="M231" s="1">
        <f>COUNTIF($K$2:$K$266,K231)</f>
        <v>1</v>
      </c>
    </row>
    <row r="232" spans="1:13">
      <c r="A232" s="47">
        <f t="shared" si="8"/>
        <v>231</v>
      </c>
      <c r="B232" s="54">
        <v>46175.453020833302</v>
      </c>
      <c r="C232" s="54">
        <v>46175.453402777799</v>
      </c>
      <c r="D232" s="54" t="s">
        <v>462</v>
      </c>
      <c r="E232" s="53" t="s">
        <v>73</v>
      </c>
      <c r="F232" s="53" t="s">
        <v>86</v>
      </c>
      <c r="G232" s="53" t="s">
        <v>26</v>
      </c>
      <c r="H232" s="53" t="s">
        <v>27</v>
      </c>
      <c r="I232" s="53" t="s">
        <v>33</v>
      </c>
      <c r="K232" s="1" t="str">
        <f t="shared" si="10"/>
        <v>KowalczykJulia</v>
      </c>
      <c r="M232" s="1">
        <f>COUNTIF($K$2:$K$266,K232)</f>
        <v>2</v>
      </c>
    </row>
    <row r="233" spans="1:13">
      <c r="A233" s="47">
        <f t="shared" si="8"/>
        <v>232</v>
      </c>
      <c r="B233" s="54">
        <v>46175.453692129602</v>
      </c>
      <c r="C233" s="54">
        <v>46175.4539814815</v>
      </c>
      <c r="D233" s="54" t="s">
        <v>462</v>
      </c>
      <c r="E233" s="53" t="s">
        <v>78</v>
      </c>
      <c r="F233" s="53" t="s">
        <v>331</v>
      </c>
      <c r="G233" s="53" t="s">
        <v>26</v>
      </c>
      <c r="H233" s="53" t="s">
        <v>27</v>
      </c>
      <c r="I233" s="53" t="s">
        <v>27</v>
      </c>
      <c r="K233" s="1" t="str">
        <f t="shared" si="10"/>
        <v>NowakZuzanna</v>
      </c>
      <c r="M233" s="1">
        <f>COUNTIF($K$2:$K$266,K233)</f>
        <v>2</v>
      </c>
    </row>
    <row r="234" spans="1:13">
      <c r="A234" s="47">
        <f t="shared" si="8"/>
        <v>233</v>
      </c>
      <c r="B234" s="54">
        <v>46175.876678240696</v>
      </c>
      <c r="C234" s="54">
        <v>46175.876828703702</v>
      </c>
      <c r="D234" s="54" t="s">
        <v>462</v>
      </c>
      <c r="E234" s="53" t="s">
        <v>168</v>
      </c>
      <c r="F234" s="53" t="s">
        <v>483</v>
      </c>
      <c r="G234" s="53" t="s">
        <v>26</v>
      </c>
      <c r="H234" s="53" t="s">
        <v>33</v>
      </c>
      <c r="I234" s="53" t="s">
        <v>33</v>
      </c>
      <c r="K234" s="1" t="str">
        <f t="shared" si="10"/>
        <v>DomańskiJan</v>
      </c>
      <c r="M234" s="1">
        <f>COUNTIF($K$2:$K$266,K234)</f>
        <v>1</v>
      </c>
    </row>
    <row r="235" spans="1:13">
      <c r="A235" s="47"/>
      <c r="B235" s="54"/>
      <c r="C235" s="54"/>
      <c r="D235" s="53"/>
      <c r="E235" s="53"/>
      <c r="F235" s="53"/>
      <c r="G235" s="53"/>
      <c r="H235" s="53"/>
      <c r="I235" s="53"/>
    </row>
    <row r="236" spans="1:13">
      <c r="A236" s="53"/>
      <c r="B236" s="54"/>
      <c r="C236" s="54"/>
      <c r="D236" s="53"/>
      <c r="E236" s="53"/>
      <c r="F236" s="53"/>
      <c r="G236" s="53"/>
      <c r="H236" s="53"/>
      <c r="I236" s="53"/>
    </row>
    <row r="237" spans="1:13">
      <c r="A237" s="53"/>
      <c r="B237" s="54"/>
      <c r="C237" s="54"/>
      <c r="D237" s="53"/>
      <c r="E237" s="53"/>
      <c r="F237" s="53"/>
      <c r="G237" s="53"/>
      <c r="H237" s="53"/>
      <c r="I237" s="53"/>
    </row>
    <row r="238" spans="1:13">
      <c r="A238" s="53"/>
      <c r="B238" s="54"/>
      <c r="C238" s="54"/>
      <c r="D238" s="53"/>
      <c r="E238" s="53"/>
      <c r="F238" s="53"/>
      <c r="G238" s="53"/>
      <c r="H238" s="53"/>
      <c r="I238" s="53"/>
    </row>
    <row r="239" spans="1:13">
      <c r="A239" s="53"/>
      <c r="B239" s="54"/>
      <c r="C239" s="54"/>
      <c r="D239" s="53"/>
      <c r="E239" s="53"/>
      <c r="F239" s="53"/>
      <c r="G239" s="53"/>
      <c r="H239" s="53"/>
      <c r="I239" s="53"/>
    </row>
    <row r="240" spans="1:13">
      <c r="A240" s="53"/>
      <c r="B240" s="54"/>
      <c r="C240" s="54"/>
      <c r="D240" s="53"/>
      <c r="E240" s="53"/>
      <c r="F240" s="53"/>
      <c r="G240" s="53"/>
      <c r="H240" s="53"/>
      <c r="I240" s="53"/>
    </row>
    <row r="241" spans="1:9">
      <c r="A241" s="53"/>
      <c r="B241" s="54"/>
      <c r="C241" s="54"/>
      <c r="D241" s="53"/>
      <c r="E241" s="53"/>
      <c r="F241" s="53"/>
      <c r="G241" s="53"/>
      <c r="H241" s="53"/>
      <c r="I241" s="53"/>
    </row>
    <row r="242" spans="1:9">
      <c r="A242" s="53"/>
      <c r="B242" s="54"/>
      <c r="C242" s="54"/>
      <c r="D242" s="53"/>
      <c r="E242" s="53"/>
      <c r="F242" s="53"/>
      <c r="G242" s="53"/>
      <c r="H242" s="53"/>
      <c r="I242" s="53"/>
    </row>
    <row r="243" spans="1:9">
      <c r="A243" s="53"/>
      <c r="B243" s="54"/>
      <c r="C243" s="54"/>
      <c r="D243" s="53"/>
      <c r="E243" s="53"/>
      <c r="F243" s="53"/>
      <c r="G243" s="53"/>
      <c r="H243" s="53"/>
      <c r="I243" s="53"/>
    </row>
    <row r="244" spans="1:9">
      <c r="A244" s="53"/>
      <c r="B244" s="54"/>
      <c r="C244" s="54"/>
      <c r="D244" s="53"/>
      <c r="E244" s="53"/>
      <c r="F244" s="53"/>
      <c r="G244" s="53"/>
      <c r="H244" s="53"/>
      <c r="I244" s="53"/>
    </row>
    <row r="245" spans="1:9">
      <c r="A245" s="53"/>
      <c r="B245" s="54"/>
      <c r="C245" s="54"/>
      <c r="D245" s="53"/>
      <c r="E245" s="53"/>
      <c r="F245" s="53"/>
      <c r="G245" s="53"/>
      <c r="H245" s="53"/>
      <c r="I245" s="53"/>
    </row>
    <row r="246" spans="1:9">
      <c r="A246" s="53"/>
      <c r="B246" s="54"/>
      <c r="C246" s="54"/>
      <c r="D246" s="53"/>
      <c r="E246" s="53"/>
      <c r="F246" s="53"/>
      <c r="G246" s="53"/>
      <c r="H246" s="53"/>
      <c r="I246" s="53"/>
    </row>
    <row r="247" spans="1:9">
      <c r="A247" s="53"/>
      <c r="B247" s="54"/>
      <c r="C247" s="54"/>
      <c r="D247" s="53"/>
      <c r="E247" s="53"/>
      <c r="F247" s="53"/>
      <c r="G247" s="53"/>
      <c r="H247" s="53"/>
      <c r="I247" s="53"/>
    </row>
    <row r="248" spans="1:9">
      <c r="A248" s="53"/>
      <c r="B248" s="54"/>
      <c r="C248" s="54"/>
      <c r="D248" s="53"/>
      <c r="E248" s="53"/>
      <c r="F248" s="53"/>
      <c r="G248" s="53"/>
      <c r="H248" s="53"/>
      <c r="I248" s="53"/>
    </row>
    <row r="249" spans="1:9">
      <c r="A249" s="53"/>
      <c r="B249" s="54"/>
      <c r="C249" s="54"/>
      <c r="D249" s="53"/>
      <c r="E249" s="53"/>
      <c r="F249" s="53"/>
      <c r="G249" s="53"/>
      <c r="H249" s="53"/>
      <c r="I249" s="53"/>
    </row>
    <row r="250" spans="1:9">
      <c r="A250" s="53"/>
      <c r="B250" s="54"/>
      <c r="C250" s="54"/>
      <c r="D250" s="53"/>
      <c r="E250" s="53"/>
      <c r="F250" s="53"/>
      <c r="G250" s="53"/>
      <c r="H250" s="53"/>
      <c r="I250" s="53"/>
    </row>
    <row r="251" spans="1:9">
      <c r="A251" s="53"/>
      <c r="B251" s="54"/>
      <c r="C251" s="54"/>
      <c r="D251" s="53"/>
      <c r="E251" s="53"/>
      <c r="F251" s="53"/>
      <c r="G251" s="53"/>
      <c r="H251" s="53"/>
      <c r="I251" s="53"/>
    </row>
    <row r="252" spans="1:9">
      <c r="A252" s="53"/>
      <c r="B252" s="54"/>
      <c r="C252" s="54"/>
      <c r="D252" s="53"/>
      <c r="E252" s="53"/>
      <c r="F252" s="53"/>
      <c r="G252" s="53"/>
      <c r="H252" s="53"/>
      <c r="I252" s="53"/>
    </row>
    <row r="253" spans="1:9">
      <c r="A253" s="53"/>
      <c r="B253" s="54"/>
      <c r="C253" s="54"/>
      <c r="D253" s="53"/>
      <c r="E253" s="53"/>
      <c r="F253" s="53"/>
      <c r="G253" s="53"/>
      <c r="H253" s="53"/>
      <c r="I253" s="53"/>
    </row>
    <row r="254" spans="1:9">
      <c r="A254" s="53"/>
      <c r="B254" s="54"/>
      <c r="C254" s="54"/>
      <c r="D254" s="53"/>
      <c r="E254" s="53"/>
      <c r="F254" s="53"/>
      <c r="G254" s="53"/>
      <c r="H254" s="53"/>
      <c r="I254" s="53"/>
    </row>
    <row r="255" spans="1:9">
      <c r="A255" s="53"/>
      <c r="B255" s="54"/>
      <c r="C255" s="54"/>
      <c r="D255" s="53"/>
      <c r="E255" s="53"/>
      <c r="F255" s="53"/>
      <c r="G255" s="53"/>
      <c r="H255" s="53"/>
      <c r="I255" s="53"/>
    </row>
    <row r="256" spans="1:9">
      <c r="A256" s="53"/>
      <c r="B256" s="54"/>
      <c r="C256" s="54"/>
      <c r="D256" s="53"/>
      <c r="E256" s="53"/>
      <c r="F256" s="53"/>
      <c r="G256" s="53"/>
      <c r="H256" s="53"/>
      <c r="I256" s="53"/>
    </row>
    <row r="257" spans="1:9">
      <c r="A257" s="53"/>
      <c r="B257" s="54"/>
      <c r="C257" s="54"/>
      <c r="D257" s="53"/>
      <c r="E257" s="53"/>
      <c r="F257" s="53"/>
      <c r="G257" s="53"/>
      <c r="H257" s="53"/>
      <c r="I257" s="53"/>
    </row>
    <row r="258" spans="1:9">
      <c r="A258" s="53"/>
      <c r="B258" s="54"/>
      <c r="C258" s="54"/>
      <c r="D258" s="53"/>
      <c r="E258" s="53"/>
      <c r="F258" s="53"/>
      <c r="G258" s="53"/>
      <c r="H258" s="53"/>
      <c r="I258" s="53"/>
    </row>
    <row r="259" spans="1:9">
      <c r="A259" s="53"/>
      <c r="B259" s="54"/>
      <c r="C259" s="54"/>
      <c r="D259" s="53"/>
      <c r="E259" s="53"/>
      <c r="F259" s="53"/>
      <c r="G259" s="53"/>
      <c r="H259" s="53"/>
      <c r="I259" s="53"/>
    </row>
    <row r="260" spans="1:9">
      <c r="A260" s="53"/>
      <c r="B260" s="54"/>
      <c r="C260" s="54"/>
      <c r="D260" s="53"/>
      <c r="E260" s="53"/>
      <c r="F260" s="53"/>
      <c r="G260" s="53"/>
      <c r="H260" s="53"/>
      <c r="I260" s="53"/>
    </row>
    <row r="261" spans="1:9">
      <c r="A261" s="53"/>
      <c r="B261" s="54"/>
      <c r="C261" s="54"/>
      <c r="D261" s="53"/>
      <c r="E261" s="53"/>
      <c r="F261" s="53"/>
      <c r="G261" s="53"/>
      <c r="H261" s="53"/>
      <c r="I261" s="53"/>
    </row>
    <row r="262" spans="1:9">
      <c r="A262" s="53"/>
      <c r="B262" s="54"/>
      <c r="C262" s="54"/>
      <c r="D262" s="53"/>
      <c r="E262" s="53"/>
      <c r="F262" s="53"/>
      <c r="G262" s="53"/>
      <c r="H262" s="53"/>
      <c r="I262" s="53"/>
    </row>
    <row r="263" spans="1:9">
      <c r="A263" s="53"/>
      <c r="B263" s="54"/>
      <c r="C263" s="54"/>
      <c r="D263" s="53"/>
      <c r="E263" s="53"/>
      <c r="F263" s="53"/>
      <c r="G263" s="53"/>
      <c r="H263" s="53"/>
      <c r="I263" s="53"/>
    </row>
    <row r="264" spans="1:9">
      <c r="A264" s="53"/>
      <c r="B264" s="54"/>
      <c r="C264" s="54"/>
      <c r="D264" s="53"/>
      <c r="E264" s="53"/>
      <c r="F264" s="53"/>
      <c r="G264" s="53"/>
      <c r="H264" s="53"/>
      <c r="I264" s="53"/>
    </row>
    <row r="265" spans="1:9">
      <c r="A265" s="53"/>
      <c r="B265" s="54"/>
      <c r="C265" s="54"/>
      <c r="D265" s="53"/>
      <c r="E265" s="53"/>
      <c r="F265" s="53"/>
      <c r="G265" s="53"/>
      <c r="H265" s="53"/>
      <c r="I265" s="53"/>
    </row>
    <row r="266" spans="1:9">
      <c r="A266" s="53"/>
      <c r="B266" s="54"/>
      <c r="C266" s="54"/>
      <c r="D266" s="53"/>
      <c r="E266" s="53"/>
      <c r="F266" s="53"/>
      <c r="G266" s="53"/>
      <c r="H266" s="53"/>
      <c r="I266" s="53"/>
    </row>
    <row r="267" spans="1:9">
      <c r="A267" s="53"/>
      <c r="B267" s="54"/>
      <c r="C267" s="54"/>
      <c r="D267" s="53"/>
      <c r="E267" s="53"/>
      <c r="F267" s="53"/>
      <c r="G267" s="53"/>
      <c r="H267" s="53"/>
      <c r="I267" s="53"/>
    </row>
    <row r="268" spans="1:9">
      <c r="A268" s="53"/>
      <c r="B268" s="54"/>
      <c r="C268" s="54"/>
      <c r="D268" s="53"/>
      <c r="E268" s="53"/>
      <c r="F268" s="53"/>
      <c r="G268" s="53"/>
      <c r="H268" s="53"/>
      <c r="I268" s="53"/>
    </row>
    <row r="269" spans="1:9">
      <c r="A269" s="53"/>
      <c r="B269" s="54"/>
      <c r="C269" s="54"/>
      <c r="D269" s="53"/>
      <c r="E269" s="53"/>
      <c r="F269" s="53"/>
      <c r="G269" s="53"/>
      <c r="H269" s="53"/>
      <c r="I269" s="53"/>
    </row>
    <row r="270" spans="1:9">
      <c r="A270" s="53"/>
      <c r="B270" s="54"/>
      <c r="C270" s="54"/>
      <c r="D270" s="53"/>
      <c r="E270" s="53"/>
      <c r="F270" s="53"/>
      <c r="G270" s="53"/>
      <c r="H270" s="53"/>
      <c r="I270" s="53"/>
    </row>
    <row r="271" spans="1:9">
      <c r="A271" s="53"/>
      <c r="B271" s="54"/>
      <c r="C271" s="54"/>
      <c r="D271" s="53"/>
      <c r="E271" s="53"/>
      <c r="F271" s="53"/>
      <c r="G271" s="53"/>
      <c r="H271" s="53"/>
      <c r="I271" s="53"/>
    </row>
    <row r="272" spans="1:9">
      <c r="A272" s="53"/>
      <c r="B272" s="54"/>
      <c r="C272" s="54"/>
      <c r="D272" s="53"/>
      <c r="E272" s="53"/>
      <c r="F272" s="53"/>
      <c r="G272" s="53"/>
      <c r="H272" s="53"/>
      <c r="I272" s="53"/>
    </row>
    <row r="273" spans="1:9">
      <c r="A273" s="53"/>
      <c r="B273" s="54"/>
      <c r="C273" s="54"/>
      <c r="D273" s="53"/>
      <c r="E273" s="53"/>
      <c r="F273" s="53"/>
      <c r="G273" s="53"/>
      <c r="H273" s="53"/>
      <c r="I273" s="53"/>
    </row>
    <row r="274" spans="1:9">
      <c r="A274" s="53"/>
      <c r="B274" s="54"/>
      <c r="C274" s="54"/>
      <c r="D274" s="53"/>
      <c r="E274" s="53"/>
      <c r="F274" s="53"/>
      <c r="G274" s="53"/>
      <c r="H274" s="53"/>
      <c r="I274" s="53"/>
    </row>
    <row r="275" spans="1:9">
      <c r="A275" s="53"/>
      <c r="B275" s="54"/>
      <c r="C275" s="54"/>
      <c r="D275" s="53"/>
      <c r="E275" s="53"/>
      <c r="F275" s="53"/>
      <c r="G275" s="53"/>
      <c r="H275" s="53"/>
      <c r="I275" s="53"/>
    </row>
    <row r="276" spans="1:9">
      <c r="A276" s="53"/>
      <c r="B276" s="54"/>
      <c r="C276" s="54"/>
      <c r="D276" s="53"/>
      <c r="E276" s="53"/>
      <c r="F276" s="53"/>
      <c r="G276" s="53"/>
      <c r="H276" s="53"/>
      <c r="I276" s="53"/>
    </row>
    <row r="277" spans="1:9">
      <c r="A277" s="53"/>
      <c r="B277" s="54"/>
      <c r="C277" s="54"/>
      <c r="D277" s="53"/>
      <c r="E277" s="53"/>
      <c r="F277" s="53"/>
      <c r="G277" s="53"/>
      <c r="H277" s="53"/>
      <c r="I277" s="53"/>
    </row>
  </sheetData>
  <autoFilter ref="K1:M234" xr:uid="{CE8936F2-E3A6-406E-9341-D29A69F6583E}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2026-04-12T14:26:33Z</dcterms:created>
  <dcterms:modified xsi:type="dcterms:W3CDTF">2026-10-16T06:44:08Z</dcterms:modified>
  <cp:category/>
  <cp:contentStatus/>
</cp:coreProperties>
</file>